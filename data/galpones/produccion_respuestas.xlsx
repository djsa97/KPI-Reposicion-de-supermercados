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total" sheetId="2" r:id="rId6"/>
    <sheet state="visible" name="chat" sheetId="3" r:id="rId7"/>
  </sheets>
  <definedNames>
    <definedName hidden="1" localSheetId="0" name="_xlnm._FilterDatabase">'Respuestas de formulario 1'!$A$1:$O$161</definedName>
  </definedNames>
  <calcPr/>
</workbook>
</file>

<file path=xl/sharedStrings.xml><?xml version="1.0" encoding="utf-8"?>
<sst xmlns="http://schemas.openxmlformats.org/spreadsheetml/2006/main" count="310" uniqueCount="244">
  <si>
    <t>Marca temporal</t>
  </si>
  <si>
    <t>Fecha de clasificado</t>
  </si>
  <si>
    <t>Fecha de puesta</t>
  </si>
  <si>
    <t>Número de galpón</t>
  </si>
  <si>
    <t>Tipo A</t>
  </si>
  <si>
    <t>Tipo S</t>
  </si>
  <si>
    <t>Tipo B</t>
  </si>
  <si>
    <t>Tipo Yumbo</t>
  </si>
  <si>
    <t>Rotos</t>
  </si>
  <si>
    <t>Picado</t>
  </si>
  <si>
    <t>Tipo C</t>
  </si>
  <si>
    <t>Huevos Sucios</t>
  </si>
  <si>
    <t xml:space="preserve">Total de huevos </t>
  </si>
  <si>
    <t xml:space="preserve">Rotos limpio </t>
  </si>
  <si>
    <t xml:space="preserve">Picado limpio </t>
  </si>
  <si>
    <t>6/110</t>
  </si>
  <si>
    <t xml:space="preserve">15 unidades </t>
  </si>
  <si>
    <t xml:space="preserve">1 planchas con 9 unidades </t>
  </si>
  <si>
    <t>7/455</t>
  </si>
  <si>
    <t xml:space="preserve">5 planchas con 9 unidades </t>
  </si>
  <si>
    <t>3/200</t>
  </si>
  <si>
    <t xml:space="preserve">1 planchas con 10 unidades </t>
  </si>
  <si>
    <t>1/140</t>
  </si>
  <si>
    <t xml:space="preserve">1 planchas con 19 unidades </t>
  </si>
  <si>
    <t xml:space="preserve">7 planchas con 18 unidades </t>
  </si>
  <si>
    <t>6/440</t>
  </si>
  <si>
    <t xml:space="preserve">7 con planchas 8 unidades </t>
  </si>
  <si>
    <t xml:space="preserve">14 planchas con 18 unidades </t>
  </si>
  <si>
    <t>7/300</t>
  </si>
  <si>
    <t xml:space="preserve">5 unidades </t>
  </si>
  <si>
    <t xml:space="preserve">2 planchas con 10 unidades </t>
  </si>
  <si>
    <t xml:space="preserve">4 planchas con 18 unidades </t>
  </si>
  <si>
    <t>7/706</t>
  </si>
  <si>
    <t xml:space="preserve">5 planchas con 7 unidades </t>
  </si>
  <si>
    <t>6/193</t>
  </si>
  <si>
    <t xml:space="preserve">7 unidades </t>
  </si>
  <si>
    <t xml:space="preserve">3 planchas con 10 unidades </t>
  </si>
  <si>
    <t>1/310</t>
  </si>
  <si>
    <t xml:space="preserve">4 planchas con 20 unidades </t>
  </si>
  <si>
    <t>3/239</t>
  </si>
  <si>
    <t xml:space="preserve">1 planchas con 15 unidades </t>
  </si>
  <si>
    <t xml:space="preserve">4 planchas con 14 unidades </t>
  </si>
  <si>
    <t>6/524</t>
  </si>
  <si>
    <t>3/405</t>
  </si>
  <si>
    <t xml:space="preserve">2 planchas con 18 unidades </t>
  </si>
  <si>
    <t>7/155</t>
  </si>
  <si>
    <t>6/100</t>
  </si>
  <si>
    <t xml:space="preserve">4 unidades </t>
  </si>
  <si>
    <t>7/1303</t>
  </si>
  <si>
    <t>1/377</t>
  </si>
  <si>
    <t xml:space="preserve">3 planchas </t>
  </si>
  <si>
    <t>Galpón 2/100</t>
  </si>
  <si>
    <t xml:space="preserve">210 unidades </t>
  </si>
  <si>
    <t>Galpón 2/150</t>
  </si>
  <si>
    <t>Galpón 1/296</t>
  </si>
  <si>
    <t>Galpón 2/240</t>
  </si>
  <si>
    <t>Galpón 2/300</t>
  </si>
  <si>
    <t>Galpón 2/50</t>
  </si>
  <si>
    <t xml:space="preserve">114 unidad </t>
  </si>
  <si>
    <t>Galpón 1/540</t>
  </si>
  <si>
    <t>Galpón 3/ 486</t>
  </si>
  <si>
    <t xml:space="preserve">3 unidades </t>
  </si>
  <si>
    <t>Galpón 2/137</t>
  </si>
  <si>
    <t xml:space="preserve">149 unidades </t>
  </si>
  <si>
    <t>Galpón 1/291</t>
  </si>
  <si>
    <t>Galpón 3/260</t>
  </si>
  <si>
    <t>Galpón 2/73</t>
  </si>
  <si>
    <t xml:space="preserve">70 unidades </t>
  </si>
  <si>
    <t>Galpón 2/227</t>
  </si>
  <si>
    <t xml:space="preserve">3 unidad </t>
  </si>
  <si>
    <t xml:space="preserve">110 unidades </t>
  </si>
  <si>
    <t>Galpón 1/320</t>
  </si>
  <si>
    <t xml:space="preserve">5 unidad </t>
  </si>
  <si>
    <t>Galpón 3/251</t>
  </si>
  <si>
    <t xml:space="preserve">32 unidad </t>
  </si>
  <si>
    <t>Galpón 1/127</t>
  </si>
  <si>
    <t>Galpón 1/100</t>
  </si>
  <si>
    <t xml:space="preserve">45 unidad </t>
  </si>
  <si>
    <t>Galpón 3/220</t>
  </si>
  <si>
    <t>Galpón 1/267</t>
  </si>
  <si>
    <t xml:space="preserve">99 unidad </t>
  </si>
  <si>
    <t>Galpón 2/225</t>
  </si>
  <si>
    <t>Galpón 3/225</t>
  </si>
  <si>
    <t>Galpón 1/273</t>
  </si>
  <si>
    <t xml:space="preserve">170 unidades </t>
  </si>
  <si>
    <t>Galpón 3/ 259</t>
  </si>
  <si>
    <t>Galpón 2/250</t>
  </si>
  <si>
    <t>Galpón 2/260</t>
  </si>
  <si>
    <t>Galpón 2/229</t>
  </si>
  <si>
    <t xml:space="preserve">116 unidad </t>
  </si>
  <si>
    <t>Galpón 1/560</t>
  </si>
  <si>
    <t>Galpón 3/ 490</t>
  </si>
  <si>
    <t>Galpón 1/245</t>
  </si>
  <si>
    <t>Galpón 2/ 230</t>
  </si>
  <si>
    <t>Galpón 3/ 210</t>
  </si>
  <si>
    <t>Galpón 2/278</t>
  </si>
  <si>
    <t>1 unidad</t>
  </si>
  <si>
    <t xml:space="preserve">115 unidades </t>
  </si>
  <si>
    <t>Galpón 1 /322</t>
  </si>
  <si>
    <t xml:space="preserve">1 unidad </t>
  </si>
  <si>
    <t>Galpón 3/ 271</t>
  </si>
  <si>
    <t>Galpón 1/ 63</t>
  </si>
  <si>
    <t>Galpón 1 /217</t>
  </si>
  <si>
    <t xml:space="preserve">143 unidades </t>
  </si>
  <si>
    <t>Galpón 2/271</t>
  </si>
  <si>
    <t>Galpón 3/ 240</t>
  </si>
  <si>
    <t>Galpón 2/208</t>
  </si>
  <si>
    <t>Galpón 1/120</t>
  </si>
  <si>
    <t>Galpón 1/162</t>
  </si>
  <si>
    <t>Galpón 3/240</t>
  </si>
  <si>
    <t>Galpón 2/504</t>
  </si>
  <si>
    <t>Galpón 1/170</t>
  </si>
  <si>
    <t>Galpón 1/380</t>
  </si>
  <si>
    <t xml:space="preserve">57 unidad </t>
  </si>
  <si>
    <t>Galpón 3 /517</t>
  </si>
  <si>
    <t>Galpón 2/ 283</t>
  </si>
  <si>
    <t xml:space="preserve">190 unidades </t>
  </si>
  <si>
    <t>Galpón 1/297</t>
  </si>
  <si>
    <t>Galpón 1/220</t>
  </si>
  <si>
    <t>Galpón 2/40</t>
  </si>
  <si>
    <t xml:space="preserve">40 unidades </t>
  </si>
  <si>
    <t>Galpón 3/245</t>
  </si>
  <si>
    <t>Galpón 1/280</t>
  </si>
  <si>
    <t>Galpón 2/269</t>
  </si>
  <si>
    <t xml:space="preserve">144 unidades </t>
  </si>
  <si>
    <t>Galpón 1/240</t>
  </si>
  <si>
    <t>Galpón 1/ 302</t>
  </si>
  <si>
    <t xml:space="preserve">155 unidades </t>
  </si>
  <si>
    <t>Galpón 2/190</t>
  </si>
  <si>
    <t>Galpón 3/ 40</t>
  </si>
  <si>
    <t>Galpón 3/450</t>
  </si>
  <si>
    <t>Galpón 2/344</t>
  </si>
  <si>
    <t>Galpón 1/180</t>
  </si>
  <si>
    <t xml:space="preserve">84 unidades </t>
  </si>
  <si>
    <t>Galpón 2/412</t>
  </si>
  <si>
    <t>Galpón 1/337</t>
  </si>
  <si>
    <t xml:space="preserve">80 unidades </t>
  </si>
  <si>
    <t>Galpón 3/ 463</t>
  </si>
  <si>
    <t>Galpón 1 /283</t>
  </si>
  <si>
    <t xml:space="preserve">455 unidades </t>
  </si>
  <si>
    <t>Galpon 3/ 240</t>
  </si>
  <si>
    <t xml:space="preserve">2 unidades </t>
  </si>
  <si>
    <t>Galpón 2/ 245</t>
  </si>
  <si>
    <t>Galpón 2/245</t>
  </si>
  <si>
    <t xml:space="preserve">100 unidades </t>
  </si>
  <si>
    <t>Galpón 1/ 278</t>
  </si>
  <si>
    <t>Galpon 3/ 235</t>
  </si>
  <si>
    <t>Galpon 1/ 280</t>
  </si>
  <si>
    <t xml:space="preserve">94 unidad </t>
  </si>
  <si>
    <t>Galpón 2/230</t>
  </si>
  <si>
    <t xml:space="preserve">2 unidad </t>
  </si>
  <si>
    <t xml:space="preserve">132 unidades </t>
  </si>
  <si>
    <t>Galpón 3/ 235</t>
  </si>
  <si>
    <t>Galpón 1/ 280</t>
  </si>
  <si>
    <t>Galpón 2 / 210</t>
  </si>
  <si>
    <t>Galpón 2/ 30</t>
  </si>
  <si>
    <t xml:space="preserve">101 unidades </t>
  </si>
  <si>
    <t>Galpón 1 /282</t>
  </si>
  <si>
    <t>2 unidades</t>
  </si>
  <si>
    <t>Galpón 1/285</t>
  </si>
  <si>
    <t>Galpón 2/ 152</t>
  </si>
  <si>
    <t>Galpón 2/90</t>
  </si>
  <si>
    <t xml:space="preserve">234 unidad </t>
  </si>
  <si>
    <t>Galpón 3/243</t>
  </si>
  <si>
    <t>Galpón 1/265</t>
  </si>
  <si>
    <t>Galpón 2/470</t>
  </si>
  <si>
    <t xml:space="preserve">117 unidades </t>
  </si>
  <si>
    <t>Galpón 3/489</t>
  </si>
  <si>
    <t>Galpón 1/115</t>
  </si>
  <si>
    <t>Galpón 2/265</t>
  </si>
  <si>
    <t>Galpón 3/210</t>
  </si>
  <si>
    <t>Galpón 1/250</t>
  </si>
  <si>
    <t>Galpón 2/ 240</t>
  </si>
  <si>
    <t>Galpón 3 / 138</t>
  </si>
  <si>
    <t>Galpón 3 /102</t>
  </si>
  <si>
    <t xml:space="preserve">123 unidades </t>
  </si>
  <si>
    <t>Galpón 2/ 250</t>
  </si>
  <si>
    <t>Galpón 1/279</t>
  </si>
  <si>
    <t>Galpón 2/ 253</t>
  </si>
  <si>
    <t>Galpón 1/ 270</t>
  </si>
  <si>
    <t>Galpón 3/ 125</t>
  </si>
  <si>
    <t>Galpón 3 / 125</t>
  </si>
  <si>
    <t xml:space="preserve">120 unidades </t>
  </si>
  <si>
    <t>Galpón 1 / 273</t>
  </si>
  <si>
    <t>Galpón 2/ 218</t>
  </si>
  <si>
    <t>Galpón 3 / 258</t>
  </si>
  <si>
    <t>Galpón 1/ 128</t>
  </si>
  <si>
    <t>Galpón 1 / 146</t>
  </si>
  <si>
    <t>82 unidades</t>
  </si>
  <si>
    <t>Galpón 2 / 505</t>
  </si>
  <si>
    <t>Galpón 3 /310</t>
  </si>
  <si>
    <t>Galpón 3 / 210</t>
  </si>
  <si>
    <t xml:space="preserve">76 unidades </t>
  </si>
  <si>
    <t>Galpón 1 / 297</t>
  </si>
  <si>
    <t>Galpón 2 / 255</t>
  </si>
  <si>
    <t>Galpón 2 / 260</t>
  </si>
  <si>
    <t>Galpón 1 / 230</t>
  </si>
  <si>
    <t>Galpón 3 / 290</t>
  </si>
  <si>
    <t xml:space="preserve">140 unidades </t>
  </si>
  <si>
    <t>Galpón 1 / 270</t>
  </si>
  <si>
    <t>Galpón 2 / 250</t>
  </si>
  <si>
    <t>Galpón 3 / 140</t>
  </si>
  <si>
    <t>Galpón 3 / 100</t>
  </si>
  <si>
    <t xml:space="preserve">185 unidades </t>
  </si>
  <si>
    <t>Galpón 1</t>
  </si>
  <si>
    <t>3 unidades</t>
  </si>
  <si>
    <t>Galpón 2 / 510</t>
  </si>
  <si>
    <t>Galpón 3 / 150</t>
  </si>
  <si>
    <t>3/213</t>
  </si>
  <si>
    <t>1 plancha con 15 uni</t>
  </si>
  <si>
    <t>3 planchas con 16 uni</t>
  </si>
  <si>
    <t xml:space="preserve">1 plancha con 23 uni </t>
  </si>
  <si>
    <t>1/247</t>
  </si>
  <si>
    <t>10 planchas con 13 uni</t>
  </si>
  <si>
    <t>3/220</t>
  </si>
  <si>
    <t xml:space="preserve">1 plancha con 22 uni </t>
  </si>
  <si>
    <t xml:space="preserve">3 planchas con 18 uni </t>
  </si>
  <si>
    <t xml:space="preserve">466 unidades </t>
  </si>
  <si>
    <t>1/290</t>
  </si>
  <si>
    <t>3 planchas con 18 uni</t>
  </si>
  <si>
    <t>7/1,205</t>
  </si>
  <si>
    <t xml:space="preserve">13 planchas con 11 unidades </t>
  </si>
  <si>
    <t>5/1/0026</t>
  </si>
  <si>
    <t>1/230</t>
  </si>
  <si>
    <t>3 planchas con 14 uni</t>
  </si>
  <si>
    <t>4/30/0026</t>
  </si>
  <si>
    <t>6/420</t>
  </si>
  <si>
    <t xml:space="preserve">37 unidades </t>
  </si>
  <si>
    <t xml:space="preserve">7 planchas con 22 unidades </t>
  </si>
  <si>
    <t>6/520</t>
  </si>
  <si>
    <t>5/2/0026</t>
  </si>
  <si>
    <t>1/510</t>
  </si>
  <si>
    <t xml:space="preserve">5 planchas con 22 uni </t>
  </si>
  <si>
    <t xml:space="preserve">5 planchas con 26 uni </t>
  </si>
  <si>
    <t>3/150</t>
  </si>
  <si>
    <t xml:space="preserve">49 unidades </t>
  </si>
  <si>
    <t>5/7/0026</t>
  </si>
  <si>
    <t>3/450</t>
  </si>
  <si>
    <t xml:space="preserve">5 planchas con 20 unidades </t>
  </si>
  <si>
    <t xml:space="preserve">12 planchas con 12 uni </t>
  </si>
  <si>
    <t>7/1,070</t>
  </si>
  <si>
    <t>2 planchas con 27 uni</t>
  </si>
  <si>
    <t>h</t>
  </si>
  <si>
    <t>https://chatgpt.com/c/69f2964c-6f48-83e9-b85b-393d17ca1aea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</si>
</sst>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 h:mm:ss"/>
    <numFmt numFmtId="165" formatCode="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2" xfId="0" applyAlignment="1" applyFont="1" applyNumberFormat="1">
      <alignment shrinkToFit="0" vertical="center" wrapText="0"/>
    </xf>
    <xf borderId="0" fillId="0" fontId="1" numFmtId="2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2" xfId="0" applyFont="1" applyNumberFormat="1"/>
    <xf borderId="0" fillId="0" fontId="1" numFmtId="0" xfId="0" applyFont="1"/>
    <xf borderId="0" fillId="0" fontId="1" numFmtId="14" xfId="0" applyFont="1" applyNumberForma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161" displayName="Form_Responses" name="Form_Responses" id="1">
  <autoFilter ref="$A$1:$O$161"/>
  <tableColumns count="15">
    <tableColumn name="Marca temporal" id="1"/>
    <tableColumn name="Fecha de clasificado" id="2"/>
    <tableColumn name="Fecha de puesta" id="3"/>
    <tableColumn name="Número de galpón" id="4"/>
    <tableColumn name="Tipo A" id="5"/>
    <tableColumn name="Tipo S" id="6"/>
    <tableColumn name="Tipo B" id="7"/>
    <tableColumn name="Tipo Yumbo" id="8"/>
    <tableColumn name="Rotos" id="9"/>
    <tableColumn name="Picado" id="10"/>
    <tableColumn name="Tipo C" id="11"/>
    <tableColumn name="Huevos Sucios" id="12"/>
    <tableColumn name="Total de huevos " id="13"/>
    <tableColumn name="Rotos limpio " id="14"/>
    <tableColumn name="Picado limpio 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chatgpt.com/c/69f2964c-6f48-83e9-b85b-393d17ca1aea" TargetMode="External"/><Relationship Id="rId2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0"/>
    <col customWidth="1" min="2" max="2" width="20.63"/>
    <col customWidth="1" min="3" max="3" width="17.63"/>
    <col customWidth="1" min="4" max="4" width="19.13"/>
    <col customWidth="1" min="5" max="7" width="10.25"/>
    <col customWidth="1" min="8" max="8" width="14.38"/>
    <col customWidth="1" min="9" max="9" width="28.0"/>
    <col customWidth="1" min="10" max="10" width="10.63"/>
    <col customWidth="1" min="11" max="11" width="10.25"/>
    <col customWidth="1" min="12" max="12" width="16.5"/>
    <col customWidth="1" min="13" max="13" width="17.63"/>
    <col customWidth="1" min="14" max="1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</row>
    <row r="2" ht="22.5" customHeight="1">
      <c r="A2" s="3">
        <v>46142.83625717592</v>
      </c>
      <c r="B2" s="4">
        <v>46142.0</v>
      </c>
      <c r="C2" s="4">
        <v>46140.0</v>
      </c>
      <c r="D2" s="5" t="s">
        <v>15</v>
      </c>
      <c r="E2" s="5">
        <v>64.0</v>
      </c>
      <c r="F2" s="5">
        <v>6.0</v>
      </c>
      <c r="G2" s="5">
        <v>31.0</v>
      </c>
      <c r="I2" s="5" t="s">
        <v>16</v>
      </c>
      <c r="J2" s="5" t="s">
        <v>17</v>
      </c>
      <c r="K2" s="5">
        <v>3.0</v>
      </c>
      <c r="L2" s="5">
        <v>4.0</v>
      </c>
      <c r="M2" s="5">
        <v>109.0</v>
      </c>
      <c r="N2" s="6"/>
    </row>
    <row r="3" ht="22.5" customHeight="1">
      <c r="A3" s="3">
        <v>46142.83536390046</v>
      </c>
      <c r="B3" s="4">
        <v>46142.0</v>
      </c>
      <c r="C3" s="4">
        <v>46140.0</v>
      </c>
      <c r="D3" s="5" t="s">
        <v>18</v>
      </c>
      <c r="E3" s="5">
        <v>192.0</v>
      </c>
      <c r="F3" s="5">
        <v>11.0</v>
      </c>
      <c r="G3" s="5">
        <v>224.0</v>
      </c>
      <c r="I3" s="5" t="s">
        <v>16</v>
      </c>
      <c r="J3" s="5" t="s">
        <v>19</v>
      </c>
      <c r="K3" s="5">
        <v>18.0</v>
      </c>
      <c r="L3" s="5">
        <v>5.0</v>
      </c>
      <c r="M3" s="5">
        <v>455.0</v>
      </c>
      <c r="N3" s="6"/>
    </row>
    <row r="4" ht="22.5" customHeight="1">
      <c r="A4" s="3">
        <v>46142.83443607639</v>
      </c>
      <c r="B4" s="4">
        <v>46142.0</v>
      </c>
      <c r="C4" s="4">
        <v>46140.0</v>
      </c>
      <c r="D4" s="5" t="s">
        <v>20</v>
      </c>
      <c r="E4" s="5">
        <v>139.0</v>
      </c>
      <c r="F4" s="5">
        <v>42.0</v>
      </c>
      <c r="G4" s="5">
        <v>11.0</v>
      </c>
      <c r="I4" s="5" t="s">
        <v>21</v>
      </c>
      <c r="J4" s="5">
        <v>3.0</v>
      </c>
      <c r="K4" s="5">
        <v>1.0</v>
      </c>
      <c r="L4" s="5">
        <v>2.0</v>
      </c>
      <c r="M4" s="5">
        <v>199.0</v>
      </c>
      <c r="N4" s="6"/>
    </row>
    <row r="5" ht="22.5" customHeight="1">
      <c r="A5" s="3">
        <v>46142.833633368056</v>
      </c>
      <c r="B5" s="4">
        <v>46142.0</v>
      </c>
      <c r="C5" s="4">
        <v>46140.0</v>
      </c>
      <c r="D5" s="5" t="s">
        <v>22</v>
      </c>
      <c r="E5" s="5">
        <v>92.0</v>
      </c>
      <c r="F5" s="5">
        <v>26.0</v>
      </c>
      <c r="G5" s="5">
        <v>11.0</v>
      </c>
      <c r="I5" s="5">
        <v>1.0</v>
      </c>
      <c r="J5" s="5" t="s">
        <v>23</v>
      </c>
      <c r="L5" s="5" t="s">
        <v>24</v>
      </c>
      <c r="M5" s="5">
        <v>139.0</v>
      </c>
      <c r="N5" s="6"/>
    </row>
    <row r="6" ht="22.5" customHeight="1">
      <c r="A6" s="3">
        <v>46142.83262663195</v>
      </c>
      <c r="B6" s="4">
        <v>46142.0</v>
      </c>
      <c r="C6" s="4">
        <v>46140.0</v>
      </c>
      <c r="D6" s="5" t="s">
        <v>25</v>
      </c>
      <c r="E6" s="5">
        <v>267.0</v>
      </c>
      <c r="F6" s="5">
        <v>17.0</v>
      </c>
      <c r="G6" s="5">
        <v>123.0</v>
      </c>
      <c r="I6" s="5">
        <v>1.0</v>
      </c>
      <c r="J6" s="5" t="s">
        <v>26</v>
      </c>
      <c r="K6" s="5">
        <v>13.0</v>
      </c>
      <c r="L6" s="5" t="s">
        <v>27</v>
      </c>
      <c r="M6" s="5">
        <v>439.0</v>
      </c>
      <c r="N6" s="6"/>
    </row>
    <row r="7" ht="22.5" customHeight="1">
      <c r="A7" s="3">
        <v>46142.831380972224</v>
      </c>
      <c r="B7" s="4">
        <v>46142.0</v>
      </c>
      <c r="C7" s="4">
        <v>46140.0</v>
      </c>
      <c r="D7" s="5" t="s">
        <v>28</v>
      </c>
      <c r="E7" s="5">
        <v>122.0</v>
      </c>
      <c r="F7" s="5">
        <v>7.0</v>
      </c>
      <c r="G7" s="5">
        <v>150.0</v>
      </c>
      <c r="I7" s="5" t="s">
        <v>29</v>
      </c>
      <c r="J7" s="5" t="s">
        <v>30</v>
      </c>
      <c r="K7" s="5">
        <v>13.0</v>
      </c>
      <c r="L7" s="5" t="s">
        <v>31</v>
      </c>
      <c r="M7" s="5">
        <v>299.0</v>
      </c>
      <c r="N7" s="6"/>
    </row>
    <row r="8" ht="22.5" customHeight="1">
      <c r="A8" s="3">
        <v>46141.84243600695</v>
      </c>
      <c r="B8" s="4">
        <v>46141.0</v>
      </c>
      <c r="C8" s="4">
        <v>46138.0</v>
      </c>
      <c r="D8" s="5" t="s">
        <v>32</v>
      </c>
      <c r="E8" s="5">
        <v>283.0</v>
      </c>
      <c r="F8" s="5">
        <v>15.0</v>
      </c>
      <c r="G8" s="5">
        <v>348.0</v>
      </c>
      <c r="I8" s="5">
        <v>1.0</v>
      </c>
      <c r="J8" s="5" t="s">
        <v>33</v>
      </c>
      <c r="K8" s="5">
        <v>45.0</v>
      </c>
      <c r="L8" s="5">
        <v>8.0</v>
      </c>
      <c r="M8" s="5">
        <v>705.0</v>
      </c>
      <c r="N8" s="7">
        <f>IFERROR(__xludf.DUMMYFUNCTION("ARRAYFORMULA(IF(I8:I261="""","""",IFERROR(
IF(REGEXMATCH(TO_TEXT(I8:I261),""planch""),
VALUE(REGEXEXTRACT(TO_TEXT(I8:I261),""^\d+(?:[.,]\d+)?"")) +
IFERROR(VALUE(REGEXEXTRACT(TO_TEXT(I8:I261),""(\d+(?:[.,]\d+)?)\s*unidad""))/30,0),
VALUE(REGEXEXTRACT(TO_T"&amp;"EXT(I8:I261),""(\d+(?:[.,]\d+)?)""))/30
)
,0)))"),0.03333333333333333)</f>
        <v>0.03333333333</v>
      </c>
      <c r="O8" s="8">
        <f>IFERROR(__xludf.DUMMYFUNCTION("ARRAYFORMULA(IF(J8:J261="""","""",IFERROR(
IF(REGEXMATCH(TO_TEXT(J8:J261),""planch""),
VALUE(REGEXEXTRACT(TO_TEXT(J8:J261),""^\d+(?:[.,]\d+)?"")) +
IFERROR(VALUE(REGEXEXTRACT(TO_TEXT(J8:J261),""(\d+(?:[.,]\d+)?)\s*unidad""))/30,0),
VALUE(REGEXEXTRACT(TO_T"&amp;"EXT(J8:J261),""(\d+(?:[.,]\d+)?)""))/30
)
,0)))"),5.233333333333333)</f>
        <v>5.233333333</v>
      </c>
    </row>
    <row r="9" ht="22.5" customHeight="1">
      <c r="A9" s="3">
        <v>46141.84144256944</v>
      </c>
      <c r="B9" s="4">
        <v>46141.0</v>
      </c>
      <c r="C9" s="4">
        <v>46139.0</v>
      </c>
      <c r="D9" s="5" t="s">
        <v>34</v>
      </c>
      <c r="E9" s="5">
        <v>107.0</v>
      </c>
      <c r="F9" s="5">
        <v>10.0</v>
      </c>
      <c r="G9" s="5">
        <v>58.0</v>
      </c>
      <c r="I9" s="5" t="s">
        <v>35</v>
      </c>
      <c r="J9" s="5" t="s">
        <v>36</v>
      </c>
      <c r="K9" s="5">
        <v>5.0</v>
      </c>
      <c r="L9" s="5">
        <v>9.0</v>
      </c>
      <c r="M9" s="5">
        <v>192.0</v>
      </c>
      <c r="N9" s="7">
        <f>IFERROR(__xludf.DUMMYFUNCTION("""COMPUTED_VALUE"""),0.23333333333333334)</f>
        <v>0.2333333333</v>
      </c>
      <c r="O9" s="8">
        <f>IFERROR(__xludf.DUMMYFUNCTION("""COMPUTED_VALUE"""),3.3333333333333335)</f>
        <v>3.333333333</v>
      </c>
    </row>
    <row r="10" ht="22.5" customHeight="1">
      <c r="A10" s="3">
        <v>46141.840384826384</v>
      </c>
      <c r="B10" s="4">
        <v>46141.0</v>
      </c>
      <c r="C10" s="4">
        <v>46139.0</v>
      </c>
      <c r="D10" s="5" t="s">
        <v>37</v>
      </c>
      <c r="E10" s="5">
        <v>211.0</v>
      </c>
      <c r="F10" s="5">
        <v>58.0</v>
      </c>
      <c r="G10" s="5">
        <v>21.0</v>
      </c>
      <c r="I10" s="5">
        <v>2.0</v>
      </c>
      <c r="J10" s="5" t="s">
        <v>38</v>
      </c>
      <c r="K10" s="5">
        <v>1.0</v>
      </c>
      <c r="L10" s="5">
        <v>6.0</v>
      </c>
      <c r="M10" s="5">
        <v>304.0</v>
      </c>
      <c r="N10" s="7">
        <f>IFERROR(__xludf.DUMMYFUNCTION("""COMPUTED_VALUE"""),0.06666666666666667)</f>
        <v>0.06666666667</v>
      </c>
      <c r="O10" s="8">
        <f>IFERROR(__xludf.DUMMYFUNCTION("""COMPUTED_VALUE"""),4.666666666666667)</f>
        <v>4.666666667</v>
      </c>
    </row>
    <row r="11" ht="22.5" customHeight="1">
      <c r="A11" s="3">
        <v>46141.83945868055</v>
      </c>
      <c r="B11" s="4">
        <v>46141.0</v>
      </c>
      <c r="C11" s="4">
        <v>46138.0</v>
      </c>
      <c r="D11" s="5" t="s">
        <v>39</v>
      </c>
      <c r="E11" s="5">
        <v>158.0</v>
      </c>
      <c r="F11" s="5">
        <v>57.0</v>
      </c>
      <c r="G11" s="5">
        <v>17.0</v>
      </c>
      <c r="I11" s="5" t="s">
        <v>40</v>
      </c>
      <c r="J11" s="5" t="s">
        <v>41</v>
      </c>
      <c r="K11" s="5">
        <v>1.0</v>
      </c>
      <c r="M11" s="5">
        <v>239.0</v>
      </c>
      <c r="N11" s="7">
        <f>IFERROR(__xludf.DUMMYFUNCTION("""COMPUTED_VALUE"""),1.5)</f>
        <v>1.5</v>
      </c>
      <c r="O11" s="8">
        <f>IFERROR(__xludf.DUMMYFUNCTION("""COMPUTED_VALUE"""),4.466666666666667)</f>
        <v>4.466666667</v>
      </c>
    </row>
    <row r="12" ht="22.5" customHeight="1">
      <c r="A12" s="3">
        <v>46140.85365380787</v>
      </c>
      <c r="B12" s="4">
        <v>46140.0</v>
      </c>
      <c r="C12" s="4">
        <v>46138.0</v>
      </c>
      <c r="D12" s="5" t="s">
        <v>42</v>
      </c>
      <c r="E12" s="5">
        <v>270.0</v>
      </c>
      <c r="F12" s="5">
        <v>19.0</v>
      </c>
      <c r="G12" s="5">
        <v>210.0</v>
      </c>
      <c r="I12" s="5" t="s">
        <v>21</v>
      </c>
      <c r="J12" s="5">
        <v>9.0</v>
      </c>
      <c r="K12" s="5">
        <v>14.0</v>
      </c>
      <c r="M12" s="5">
        <v>523.0</v>
      </c>
      <c r="N12" s="7">
        <f>IFERROR(__xludf.DUMMYFUNCTION("""COMPUTED_VALUE"""),1.3333333333333333)</f>
        <v>1.333333333</v>
      </c>
      <c r="O12" s="8">
        <f>IFERROR(__xludf.DUMMYFUNCTION("""COMPUTED_VALUE"""),0.3)</f>
        <v>0.3</v>
      </c>
    </row>
    <row r="13" ht="22.5" customHeight="1">
      <c r="A13" s="3">
        <v>46140.85256409722</v>
      </c>
      <c r="B13" s="4">
        <v>46140.0</v>
      </c>
      <c r="C13" s="4">
        <v>46137.0</v>
      </c>
      <c r="D13" s="5" t="s">
        <v>43</v>
      </c>
      <c r="E13" s="5">
        <v>274.0</v>
      </c>
      <c r="F13" s="5">
        <v>80.0</v>
      </c>
      <c r="G13" s="5">
        <v>40.0</v>
      </c>
      <c r="I13" s="5" t="s">
        <v>44</v>
      </c>
      <c r="J13" s="5">
        <v>7.0</v>
      </c>
      <c r="K13" s="5">
        <v>1.0</v>
      </c>
      <c r="M13" s="5">
        <v>404.0</v>
      </c>
      <c r="N13" s="7">
        <f>IFERROR(__xludf.DUMMYFUNCTION("""COMPUTED_VALUE"""),2.6)</f>
        <v>2.6</v>
      </c>
      <c r="O13" s="8">
        <f>IFERROR(__xludf.DUMMYFUNCTION("""COMPUTED_VALUE"""),0.23333333333333334)</f>
        <v>0.2333333333</v>
      </c>
    </row>
    <row r="14" ht="22.5" customHeight="1">
      <c r="A14" s="3">
        <v>46140.85151435185</v>
      </c>
      <c r="B14" s="4">
        <v>46140.0</v>
      </c>
      <c r="C14" s="4">
        <v>46138.0</v>
      </c>
      <c r="D14" s="5" t="s">
        <v>45</v>
      </c>
      <c r="E14" s="5">
        <v>60.0</v>
      </c>
      <c r="F14" s="5">
        <v>2.0</v>
      </c>
      <c r="G14" s="5">
        <v>85.0</v>
      </c>
      <c r="J14" s="5">
        <v>1.0</v>
      </c>
      <c r="K14" s="5">
        <v>4.0</v>
      </c>
      <c r="L14" s="5">
        <v>3.0</v>
      </c>
      <c r="M14" s="5">
        <v>154.0</v>
      </c>
      <c r="N14" s="7" t="str">
        <f>IFERROR(__xludf.DUMMYFUNCTION("""COMPUTED_VALUE"""),"")</f>
        <v/>
      </c>
      <c r="O14" s="8">
        <f>IFERROR(__xludf.DUMMYFUNCTION("""COMPUTED_VALUE"""),0.03333333333333333)</f>
        <v>0.03333333333</v>
      </c>
    </row>
    <row r="15" ht="22.5" customHeight="1">
      <c r="A15" s="3">
        <v>46139.70763965278</v>
      </c>
      <c r="B15" s="4">
        <v>46139.0</v>
      </c>
      <c r="C15" s="4">
        <v>46137.0</v>
      </c>
      <c r="D15" s="5" t="s">
        <v>46</v>
      </c>
      <c r="E15" s="5">
        <v>60.0</v>
      </c>
      <c r="F15" s="5">
        <v>7.0</v>
      </c>
      <c r="G15" s="5">
        <v>28.0</v>
      </c>
      <c r="I15" s="5" t="s">
        <v>47</v>
      </c>
      <c r="J15" s="5">
        <v>2.0</v>
      </c>
      <c r="K15" s="5">
        <v>3.0</v>
      </c>
      <c r="L15" s="5">
        <v>0.0</v>
      </c>
      <c r="M15" s="5">
        <v>100.0</v>
      </c>
      <c r="N15" s="7">
        <f>IFERROR(__xludf.DUMMYFUNCTION("""COMPUTED_VALUE"""),0.13333333333333333)</f>
        <v>0.1333333333</v>
      </c>
      <c r="O15" s="8">
        <f>IFERROR(__xludf.DUMMYFUNCTION("""COMPUTED_VALUE"""),0.06666666666666667)</f>
        <v>0.06666666667</v>
      </c>
    </row>
    <row r="16" ht="22.5" customHeight="1">
      <c r="A16" s="3">
        <v>46139.70694939815</v>
      </c>
      <c r="B16" s="4">
        <v>46139.0</v>
      </c>
      <c r="C16" s="4">
        <v>46136.0</v>
      </c>
      <c r="D16" s="9" t="s">
        <v>48</v>
      </c>
      <c r="E16" s="5">
        <v>568.0</v>
      </c>
      <c r="F16" s="5">
        <v>18.0</v>
      </c>
      <c r="G16" s="5">
        <v>633.0</v>
      </c>
      <c r="I16" s="5">
        <v>1.1</v>
      </c>
      <c r="J16" s="5">
        <v>14.13</v>
      </c>
      <c r="K16" s="5">
        <v>51.0</v>
      </c>
      <c r="L16" s="5">
        <v>15.0</v>
      </c>
      <c r="M16" s="5">
        <v>1300.0</v>
      </c>
      <c r="N16" s="7">
        <f>IFERROR(__xludf.DUMMYFUNCTION("""COMPUTED_VALUE"""),0.03666666666666667)</f>
        <v>0.03666666667</v>
      </c>
      <c r="O16" s="8">
        <f>IFERROR(__xludf.DUMMYFUNCTION("""COMPUTED_VALUE"""),0.47100000000000003)</f>
        <v>0.471</v>
      </c>
    </row>
    <row r="17" ht="22.5" customHeight="1">
      <c r="A17" s="3">
        <v>46139.70608459491</v>
      </c>
      <c r="B17" s="4">
        <v>46139.0</v>
      </c>
      <c r="C17" s="4">
        <v>46137.0</v>
      </c>
      <c r="D17" s="5" t="s">
        <v>49</v>
      </c>
      <c r="E17" s="5">
        <v>247.0</v>
      </c>
      <c r="F17" s="5">
        <v>64.0</v>
      </c>
      <c r="G17" s="5">
        <v>46.0</v>
      </c>
      <c r="I17" s="5" t="s">
        <v>50</v>
      </c>
      <c r="J17" s="5">
        <v>4.16</v>
      </c>
      <c r="K17" s="5">
        <v>1.0</v>
      </c>
      <c r="L17" s="5">
        <v>12.16</v>
      </c>
      <c r="M17" s="5">
        <v>377.0</v>
      </c>
      <c r="N17" s="7">
        <f>IFERROR(__xludf.DUMMYFUNCTION("""COMPUTED_VALUE"""),3.0)</f>
        <v>3</v>
      </c>
      <c r="O17" s="8">
        <f>IFERROR(__xludf.DUMMYFUNCTION("""COMPUTED_VALUE"""),0.13866666666666666)</f>
        <v>0.1386666667</v>
      </c>
    </row>
    <row r="18" ht="22.5" customHeight="1">
      <c r="A18" s="3">
        <v>45909.956536111116</v>
      </c>
      <c r="B18" s="4">
        <v>45909.0</v>
      </c>
      <c r="C18" s="4">
        <v>45908.0</v>
      </c>
      <c r="D18" s="5" t="s">
        <v>51</v>
      </c>
      <c r="E18" s="5">
        <v>63.0</v>
      </c>
      <c r="F18" s="5">
        <v>31.0</v>
      </c>
      <c r="G18" s="5">
        <v>4.0</v>
      </c>
      <c r="I18" s="5" t="s">
        <v>52</v>
      </c>
      <c r="J18" s="10"/>
      <c r="K18" s="10"/>
      <c r="L18" s="10"/>
      <c r="M18" s="5">
        <v>98.0</v>
      </c>
      <c r="N18" s="7">
        <f>IFERROR(__xludf.DUMMYFUNCTION("""COMPUTED_VALUE"""),7.0)</f>
        <v>7</v>
      </c>
      <c r="O18" s="8" t="str">
        <f>IFERROR(__xludf.DUMMYFUNCTION("""COMPUTED_VALUE"""),"")</f>
        <v/>
      </c>
    </row>
    <row r="19" ht="22.5" customHeight="1">
      <c r="A19" s="3">
        <v>45909.95602216435</v>
      </c>
      <c r="B19" s="4">
        <v>45909.0</v>
      </c>
      <c r="C19" s="4">
        <v>45906.0</v>
      </c>
      <c r="D19" s="5" t="s">
        <v>53</v>
      </c>
      <c r="E19" s="5">
        <v>98.0</v>
      </c>
      <c r="F19" s="5">
        <v>37.0</v>
      </c>
      <c r="G19" s="5">
        <v>7.0</v>
      </c>
      <c r="J19" s="10"/>
      <c r="K19" s="10"/>
      <c r="L19" s="10"/>
      <c r="M19" s="5">
        <v>142.0</v>
      </c>
      <c r="N19" s="7" t="str">
        <f>IFERROR(__xludf.DUMMYFUNCTION("""COMPUTED_VALUE"""),"")</f>
        <v/>
      </c>
      <c r="O19" s="8" t="str">
        <f>IFERROR(__xludf.DUMMYFUNCTION("""COMPUTED_VALUE"""),"")</f>
        <v/>
      </c>
    </row>
    <row r="20" ht="22.5" customHeight="1">
      <c r="A20" s="3">
        <v>45909.95554739583</v>
      </c>
      <c r="B20" s="4">
        <v>45909.0</v>
      </c>
      <c r="C20" s="4">
        <v>45908.0</v>
      </c>
      <c r="D20" s="5" t="s">
        <v>54</v>
      </c>
      <c r="E20" s="5">
        <v>223.0</v>
      </c>
      <c r="F20" s="5">
        <v>59.0</v>
      </c>
      <c r="G20" s="5">
        <v>13.0</v>
      </c>
      <c r="J20" s="10"/>
      <c r="K20" s="10"/>
      <c r="L20" s="10"/>
      <c r="M20" s="5">
        <v>295.0</v>
      </c>
      <c r="N20" s="7" t="str">
        <f>IFERROR(__xludf.DUMMYFUNCTION("""COMPUTED_VALUE"""),"")</f>
        <v/>
      </c>
      <c r="O20" s="8" t="str">
        <f>IFERROR(__xludf.DUMMYFUNCTION("""COMPUTED_VALUE"""),"")</f>
        <v/>
      </c>
    </row>
    <row r="21" ht="22.5" customHeight="1">
      <c r="A21" s="3">
        <v>45909.95514273148</v>
      </c>
      <c r="B21" s="4">
        <v>45909.0</v>
      </c>
      <c r="C21" s="4">
        <v>45909.0</v>
      </c>
      <c r="D21" s="5" t="s">
        <v>55</v>
      </c>
      <c r="E21" s="5">
        <v>199.0</v>
      </c>
      <c r="F21" s="5">
        <v>30.0</v>
      </c>
      <c r="G21" s="5">
        <v>7.0</v>
      </c>
      <c r="J21" s="10"/>
      <c r="K21" s="10"/>
      <c r="L21" s="10"/>
      <c r="M21" s="5">
        <v>236.0</v>
      </c>
      <c r="N21" s="7" t="str">
        <f>IFERROR(__xludf.DUMMYFUNCTION("""COMPUTED_VALUE"""),"")</f>
        <v/>
      </c>
      <c r="O21" s="8" t="str">
        <f>IFERROR(__xludf.DUMMYFUNCTION("""COMPUTED_VALUE"""),"")</f>
        <v/>
      </c>
    </row>
    <row r="22" ht="22.5" customHeight="1">
      <c r="A22" s="3">
        <v>45909.95458152778</v>
      </c>
      <c r="B22" s="4">
        <v>45909.0</v>
      </c>
      <c r="C22" s="4">
        <v>45906.0</v>
      </c>
      <c r="D22" s="5" t="s">
        <v>56</v>
      </c>
      <c r="E22" s="5">
        <v>239.0</v>
      </c>
      <c r="F22" s="5">
        <v>32.0</v>
      </c>
      <c r="G22" s="5">
        <v>15.0</v>
      </c>
      <c r="J22" s="10"/>
      <c r="K22" s="10"/>
      <c r="L22" s="10"/>
      <c r="M22" s="5">
        <v>286.0</v>
      </c>
      <c r="N22" s="7" t="str">
        <f>IFERROR(__xludf.DUMMYFUNCTION("""COMPUTED_VALUE"""),"")</f>
        <v/>
      </c>
      <c r="O22" s="8" t="str">
        <f>IFERROR(__xludf.DUMMYFUNCTION("""COMPUTED_VALUE"""),"")</f>
        <v/>
      </c>
    </row>
    <row r="23" ht="22.5" customHeight="1">
      <c r="A23" s="3">
        <v>45909.95407354167</v>
      </c>
      <c r="B23" s="4">
        <v>45908.0</v>
      </c>
      <c r="C23" s="4">
        <v>45907.0</v>
      </c>
      <c r="D23" s="5" t="s">
        <v>57</v>
      </c>
      <c r="E23" s="5">
        <v>42.0</v>
      </c>
      <c r="F23" s="5">
        <v>3.0</v>
      </c>
      <c r="G23" s="5">
        <v>2.0</v>
      </c>
      <c r="I23" s="5" t="s">
        <v>58</v>
      </c>
      <c r="J23" s="10"/>
      <c r="K23" s="10"/>
      <c r="L23" s="10"/>
      <c r="M23" s="5">
        <v>47.0</v>
      </c>
      <c r="N23" s="7">
        <f>IFERROR(__xludf.DUMMYFUNCTION("""COMPUTED_VALUE"""),3.8)</f>
        <v>3.8</v>
      </c>
      <c r="O23" s="8" t="str">
        <f>IFERROR(__xludf.DUMMYFUNCTION("""COMPUTED_VALUE"""),"")</f>
        <v/>
      </c>
    </row>
    <row r="24" ht="22.5" customHeight="1">
      <c r="A24" s="3">
        <v>45909.95352234953</v>
      </c>
      <c r="B24" s="4">
        <v>45908.0</v>
      </c>
      <c r="C24" s="4">
        <v>45906.0</v>
      </c>
      <c r="D24" s="5" t="s">
        <v>59</v>
      </c>
      <c r="E24" s="5">
        <v>420.0</v>
      </c>
      <c r="F24" s="5">
        <v>96.0</v>
      </c>
      <c r="G24" s="5">
        <v>19.0</v>
      </c>
      <c r="H24" s="5" t="s">
        <v>29</v>
      </c>
      <c r="J24" s="10"/>
      <c r="K24" s="10"/>
      <c r="L24" s="10"/>
      <c r="M24" s="5">
        <v>535.5</v>
      </c>
      <c r="N24" s="7" t="str">
        <f>IFERROR(__xludf.DUMMYFUNCTION("""COMPUTED_VALUE"""),"")</f>
        <v/>
      </c>
      <c r="O24" s="8" t="str">
        <f>IFERROR(__xludf.DUMMYFUNCTION("""COMPUTED_VALUE"""),"")</f>
        <v/>
      </c>
    </row>
    <row r="25" ht="22.5" customHeight="1">
      <c r="A25" s="3">
        <v>45909.952850208334</v>
      </c>
      <c r="B25" s="4">
        <v>45908.0</v>
      </c>
      <c r="C25" s="4">
        <v>45907.0</v>
      </c>
      <c r="D25" s="5" t="s">
        <v>60</v>
      </c>
      <c r="E25" s="5">
        <v>368.0</v>
      </c>
      <c r="F25" s="5">
        <v>96.0</v>
      </c>
      <c r="G25" s="5">
        <v>13.0</v>
      </c>
      <c r="H25" s="5" t="s">
        <v>61</v>
      </c>
      <c r="J25" s="10"/>
      <c r="K25" s="10"/>
      <c r="L25" s="10"/>
      <c r="M25" s="5">
        <v>477.3</v>
      </c>
      <c r="N25" s="7" t="str">
        <f>IFERROR(__xludf.DUMMYFUNCTION("""COMPUTED_VALUE"""),"")</f>
        <v/>
      </c>
      <c r="O25" s="8" t="str">
        <f>IFERROR(__xludf.DUMMYFUNCTION("""COMPUTED_VALUE"""),"")</f>
        <v/>
      </c>
    </row>
    <row r="26" ht="22.5" customHeight="1">
      <c r="A26" s="3">
        <v>45909.95205304398</v>
      </c>
      <c r="B26" s="4">
        <v>45906.0</v>
      </c>
      <c r="C26" s="4">
        <v>45905.0</v>
      </c>
      <c r="D26" s="5" t="s">
        <v>62</v>
      </c>
      <c r="E26" s="5">
        <v>107.0</v>
      </c>
      <c r="F26" s="5">
        <v>14.0</v>
      </c>
      <c r="G26" s="5">
        <v>7.0</v>
      </c>
      <c r="I26" s="5" t="s">
        <v>63</v>
      </c>
      <c r="J26" s="10"/>
      <c r="K26" s="10"/>
      <c r="L26" s="10"/>
      <c r="M26" s="5">
        <v>128.0</v>
      </c>
      <c r="N26" s="7">
        <f>IFERROR(__xludf.DUMMYFUNCTION("""COMPUTED_VALUE"""),4.966666666666667)</f>
        <v>4.966666667</v>
      </c>
      <c r="O26" s="8" t="str">
        <f>IFERROR(__xludf.DUMMYFUNCTION("""COMPUTED_VALUE"""),"")</f>
        <v/>
      </c>
    </row>
    <row r="27" ht="22.5" customHeight="1">
      <c r="A27" s="3">
        <v>45909.951564675925</v>
      </c>
      <c r="B27" s="4">
        <v>45906.0</v>
      </c>
      <c r="C27" s="4">
        <v>45905.0</v>
      </c>
      <c r="D27" s="5" t="s">
        <v>64</v>
      </c>
      <c r="E27" s="5">
        <v>238.0</v>
      </c>
      <c r="F27" s="5">
        <v>25.0</v>
      </c>
      <c r="G27" s="5">
        <v>13.0</v>
      </c>
      <c r="H27" s="5" t="s">
        <v>47</v>
      </c>
      <c r="J27" s="10"/>
      <c r="K27" s="10"/>
      <c r="L27" s="10"/>
      <c r="M27" s="5">
        <v>276.4</v>
      </c>
      <c r="N27" s="7" t="str">
        <f>IFERROR(__xludf.DUMMYFUNCTION("""COMPUTED_VALUE"""),"")</f>
        <v/>
      </c>
      <c r="O27" s="8" t="str">
        <f>IFERROR(__xludf.DUMMYFUNCTION("""COMPUTED_VALUE"""),"")</f>
        <v/>
      </c>
    </row>
    <row r="28" ht="22.5" customHeight="1">
      <c r="A28" s="3">
        <v>45909.95103390046</v>
      </c>
      <c r="B28" s="4">
        <v>45906.0</v>
      </c>
      <c r="C28" s="4">
        <v>45905.0</v>
      </c>
      <c r="D28" s="5" t="s">
        <v>53</v>
      </c>
      <c r="E28" s="5">
        <v>127.0</v>
      </c>
      <c r="F28" s="5">
        <v>12.0</v>
      </c>
      <c r="G28" s="5">
        <v>9.0</v>
      </c>
      <c r="J28" s="10"/>
      <c r="K28" s="10"/>
      <c r="L28" s="10"/>
      <c r="M28" s="5">
        <v>148.0</v>
      </c>
      <c r="N28" s="7" t="str">
        <f>IFERROR(__xludf.DUMMYFUNCTION("""COMPUTED_VALUE"""),"")</f>
        <v/>
      </c>
      <c r="O28" s="8" t="str">
        <f>IFERROR(__xludf.DUMMYFUNCTION("""COMPUTED_VALUE"""),"")</f>
        <v/>
      </c>
    </row>
    <row r="29" ht="22.5" customHeight="1">
      <c r="A29" s="3">
        <v>45909.950559907404</v>
      </c>
      <c r="B29" s="4">
        <v>45906.0</v>
      </c>
      <c r="C29" s="4">
        <v>45905.0</v>
      </c>
      <c r="D29" s="5" t="s">
        <v>65</v>
      </c>
      <c r="E29" s="5">
        <v>215.0</v>
      </c>
      <c r="F29" s="5">
        <v>33.0</v>
      </c>
      <c r="G29" s="5">
        <v>7.0</v>
      </c>
      <c r="H29" s="5" t="s">
        <v>61</v>
      </c>
      <c r="J29" s="10"/>
      <c r="K29" s="10"/>
      <c r="L29" s="10"/>
      <c r="M29" s="5">
        <v>255.3</v>
      </c>
      <c r="N29" s="7" t="str">
        <f>IFERROR(__xludf.DUMMYFUNCTION("""COMPUTED_VALUE"""),"")</f>
        <v/>
      </c>
      <c r="O29" s="8" t="str">
        <f>IFERROR(__xludf.DUMMYFUNCTION("""COMPUTED_VALUE"""),"")</f>
        <v/>
      </c>
    </row>
    <row r="30" ht="22.5" customHeight="1">
      <c r="A30" s="3">
        <v>45909.94966701389</v>
      </c>
      <c r="B30" s="4">
        <v>45905.0</v>
      </c>
      <c r="C30" s="4">
        <v>45904.0</v>
      </c>
      <c r="D30" s="5" t="s">
        <v>66</v>
      </c>
      <c r="E30" s="5">
        <v>57.0</v>
      </c>
      <c r="F30" s="5">
        <v>3.0</v>
      </c>
      <c r="G30" s="5">
        <v>6.0</v>
      </c>
      <c r="I30" s="5" t="s">
        <v>67</v>
      </c>
      <c r="J30" s="10"/>
      <c r="K30" s="10"/>
      <c r="L30" s="10"/>
      <c r="M30" s="5">
        <v>66.0</v>
      </c>
      <c r="N30" s="7">
        <f>IFERROR(__xludf.DUMMYFUNCTION("""COMPUTED_VALUE"""),2.3333333333333335)</f>
        <v>2.333333333</v>
      </c>
      <c r="O30" s="8" t="str">
        <f>IFERROR(__xludf.DUMMYFUNCTION("""COMPUTED_VALUE"""),"")</f>
        <v/>
      </c>
    </row>
    <row r="31" ht="22.5" customHeight="1">
      <c r="A31" s="3">
        <v>45909.94908701389</v>
      </c>
      <c r="B31" s="4">
        <v>45904.0</v>
      </c>
      <c r="C31" s="4">
        <v>45904.0</v>
      </c>
      <c r="D31" s="5" t="s">
        <v>68</v>
      </c>
      <c r="E31" s="5">
        <v>204.0</v>
      </c>
      <c r="F31" s="5">
        <v>14.0</v>
      </c>
      <c r="G31" s="5">
        <v>12.0</v>
      </c>
      <c r="H31" s="5" t="s">
        <v>69</v>
      </c>
      <c r="I31" s="5" t="s">
        <v>70</v>
      </c>
      <c r="J31" s="10"/>
      <c r="K31" s="10"/>
      <c r="L31" s="10"/>
      <c r="M31" s="5">
        <v>230.3</v>
      </c>
      <c r="N31" s="7">
        <f>IFERROR(__xludf.DUMMYFUNCTION("""COMPUTED_VALUE"""),3.6666666666666665)</f>
        <v>3.666666667</v>
      </c>
      <c r="O31" s="8" t="str">
        <f>IFERROR(__xludf.DUMMYFUNCTION("""COMPUTED_VALUE"""),"")</f>
        <v/>
      </c>
    </row>
    <row r="32" ht="22.5" customHeight="1">
      <c r="A32" s="3">
        <v>45909.94795299768</v>
      </c>
      <c r="B32" s="4">
        <v>45904.0</v>
      </c>
      <c r="C32" s="4">
        <v>45904.0</v>
      </c>
      <c r="D32" s="5" t="s">
        <v>71</v>
      </c>
      <c r="E32" s="5">
        <v>297.0</v>
      </c>
      <c r="F32" s="5">
        <v>9.0</v>
      </c>
      <c r="G32" s="5">
        <v>13.0</v>
      </c>
      <c r="H32" s="5" t="s">
        <v>72</v>
      </c>
      <c r="J32" s="10"/>
      <c r="K32" s="10"/>
      <c r="L32" s="10"/>
      <c r="M32" s="5">
        <v>319.5</v>
      </c>
      <c r="N32" s="7" t="str">
        <f>IFERROR(__xludf.DUMMYFUNCTION("""COMPUTED_VALUE"""),"")</f>
        <v/>
      </c>
      <c r="O32" s="8" t="str">
        <f>IFERROR(__xludf.DUMMYFUNCTION("""COMPUTED_VALUE"""),"")</f>
        <v/>
      </c>
    </row>
    <row r="33" ht="22.5" customHeight="1">
      <c r="A33" s="3">
        <v>45909.94740931713</v>
      </c>
      <c r="B33" s="4">
        <v>45904.0</v>
      </c>
      <c r="C33" s="4">
        <v>45904.0</v>
      </c>
      <c r="D33" s="5" t="s">
        <v>73</v>
      </c>
      <c r="E33" s="5">
        <v>200.0</v>
      </c>
      <c r="F33" s="5">
        <v>37.0</v>
      </c>
      <c r="G33" s="5">
        <v>9.0</v>
      </c>
      <c r="H33" s="5" t="s">
        <v>69</v>
      </c>
      <c r="J33" s="10"/>
      <c r="K33" s="10"/>
      <c r="L33" s="10"/>
      <c r="M33" s="5">
        <v>246.1</v>
      </c>
      <c r="N33" s="7" t="str">
        <f>IFERROR(__xludf.DUMMYFUNCTION("""COMPUTED_VALUE"""),"")</f>
        <v/>
      </c>
      <c r="O33" s="8" t="str">
        <f>IFERROR(__xludf.DUMMYFUNCTION("""COMPUTED_VALUE"""),"")</f>
        <v/>
      </c>
    </row>
    <row r="34" ht="22.5" customHeight="1">
      <c r="A34" s="3">
        <v>45909.94677608796</v>
      </c>
      <c r="B34" s="4">
        <v>45904.0</v>
      </c>
      <c r="C34" s="4">
        <v>45903.0</v>
      </c>
      <c r="D34" s="5" t="s">
        <v>53</v>
      </c>
      <c r="E34" s="5">
        <v>131.0</v>
      </c>
      <c r="F34" s="5">
        <v>5.0</v>
      </c>
      <c r="G34" s="5">
        <v>9.0</v>
      </c>
      <c r="I34" s="5" t="s">
        <v>74</v>
      </c>
      <c r="J34" s="10"/>
      <c r="K34" s="10"/>
      <c r="L34" s="10"/>
      <c r="M34" s="5">
        <v>145.0</v>
      </c>
      <c r="N34" s="7">
        <f>IFERROR(__xludf.DUMMYFUNCTION("""COMPUTED_VALUE"""),1.0666666666666667)</f>
        <v>1.066666667</v>
      </c>
      <c r="O34" s="8" t="str">
        <f>IFERROR(__xludf.DUMMYFUNCTION("""COMPUTED_VALUE"""),"")</f>
        <v/>
      </c>
    </row>
    <row r="35" ht="22.5" customHeight="1">
      <c r="A35" s="3">
        <v>45909.946085821764</v>
      </c>
      <c r="B35" s="4">
        <v>45904.0</v>
      </c>
      <c r="C35" s="4">
        <v>45903.0</v>
      </c>
      <c r="D35" s="5" t="s">
        <v>75</v>
      </c>
      <c r="E35" s="5">
        <v>109.0</v>
      </c>
      <c r="F35" s="5">
        <v>10.0</v>
      </c>
      <c r="G35" s="5">
        <v>8.0</v>
      </c>
      <c r="J35" s="10"/>
      <c r="K35" s="10"/>
      <c r="L35" s="10"/>
      <c r="M35" s="5">
        <v>127.0</v>
      </c>
      <c r="N35" s="7" t="str">
        <f>IFERROR(__xludf.DUMMYFUNCTION("""COMPUTED_VALUE"""),"")</f>
        <v/>
      </c>
      <c r="O35" s="8" t="str">
        <f>IFERROR(__xludf.DUMMYFUNCTION("""COMPUTED_VALUE"""),"")</f>
        <v/>
      </c>
    </row>
    <row r="36" ht="22.5" customHeight="1">
      <c r="A36" s="3">
        <v>45909.945334143515</v>
      </c>
      <c r="B36" s="4">
        <v>45903.0</v>
      </c>
      <c r="C36" s="4">
        <v>45903.0</v>
      </c>
      <c r="D36" s="5" t="s">
        <v>76</v>
      </c>
      <c r="E36" s="5">
        <v>85.0</v>
      </c>
      <c r="F36" s="5">
        <v>8.0</v>
      </c>
      <c r="G36" s="5">
        <v>6.0</v>
      </c>
      <c r="I36" s="5" t="s">
        <v>77</v>
      </c>
      <c r="J36" s="10"/>
      <c r="K36" s="10"/>
      <c r="L36" s="10"/>
      <c r="M36" s="5">
        <v>99.0</v>
      </c>
      <c r="N36" s="7">
        <f>IFERROR(__xludf.DUMMYFUNCTION("""COMPUTED_VALUE"""),1.5)</f>
        <v>1.5</v>
      </c>
      <c r="O36" s="8" t="str">
        <f>IFERROR(__xludf.DUMMYFUNCTION("""COMPUTED_VALUE"""),"")</f>
        <v/>
      </c>
    </row>
    <row r="37" ht="22.5" customHeight="1">
      <c r="A37" s="3">
        <v>45909.94471609953</v>
      </c>
      <c r="B37" s="4">
        <v>45903.0</v>
      </c>
      <c r="C37" s="4">
        <v>45903.0</v>
      </c>
      <c r="D37" s="5" t="s">
        <v>78</v>
      </c>
      <c r="E37" s="5">
        <v>175.0</v>
      </c>
      <c r="F37" s="5">
        <v>32.0</v>
      </c>
      <c r="G37" s="5">
        <v>1.0</v>
      </c>
      <c r="J37" s="10"/>
      <c r="K37" s="10"/>
      <c r="L37" s="10"/>
      <c r="M37" s="5">
        <v>217.0</v>
      </c>
      <c r="N37" s="7" t="str">
        <f>IFERROR(__xludf.DUMMYFUNCTION("""COMPUTED_VALUE"""),"")</f>
        <v/>
      </c>
      <c r="O37" s="8" t="str">
        <f>IFERROR(__xludf.DUMMYFUNCTION("""COMPUTED_VALUE"""),"")</f>
        <v/>
      </c>
    </row>
    <row r="38" ht="22.5" customHeight="1">
      <c r="A38" s="3">
        <v>45909.9410858912</v>
      </c>
      <c r="B38" s="4">
        <v>45902.0</v>
      </c>
      <c r="C38" s="4">
        <v>45902.0</v>
      </c>
      <c r="D38" s="5" t="s">
        <v>79</v>
      </c>
      <c r="E38" s="5">
        <v>245.0</v>
      </c>
      <c r="G38" s="5">
        <v>17.0</v>
      </c>
      <c r="I38" s="5" t="s">
        <v>80</v>
      </c>
      <c r="J38" s="10"/>
      <c r="K38" s="10"/>
      <c r="L38" s="10"/>
      <c r="M38" s="5">
        <v>262.0</v>
      </c>
      <c r="N38" s="7">
        <f>IFERROR(__xludf.DUMMYFUNCTION("""COMPUTED_VALUE"""),3.3)</f>
        <v>3.3</v>
      </c>
      <c r="O38" s="8" t="str">
        <f>IFERROR(__xludf.DUMMYFUNCTION("""COMPUTED_VALUE"""),"")</f>
        <v/>
      </c>
    </row>
    <row r="39" ht="22.5" customHeight="1">
      <c r="A39" s="3">
        <v>45909.94058443287</v>
      </c>
      <c r="B39" s="4">
        <v>45902.0</v>
      </c>
      <c r="C39" s="4">
        <v>45902.0</v>
      </c>
      <c r="D39" s="5" t="s">
        <v>81</v>
      </c>
      <c r="E39" s="5">
        <v>200.0</v>
      </c>
      <c r="F39" s="5">
        <v>15.0</v>
      </c>
      <c r="G39" s="5">
        <v>8.0</v>
      </c>
      <c r="J39" s="10"/>
      <c r="K39" s="10"/>
      <c r="L39" s="10"/>
      <c r="M39" s="5">
        <v>223.0</v>
      </c>
      <c r="N39" s="7" t="str">
        <f>IFERROR(__xludf.DUMMYFUNCTION("""COMPUTED_VALUE"""),"")</f>
        <v/>
      </c>
      <c r="O39" s="8" t="str">
        <f>IFERROR(__xludf.DUMMYFUNCTION("""COMPUTED_VALUE"""),"")</f>
        <v/>
      </c>
    </row>
    <row r="40" ht="22.5" customHeight="1">
      <c r="A40" s="3">
        <v>45909.940035381944</v>
      </c>
      <c r="B40" s="4">
        <v>45902.0</v>
      </c>
      <c r="C40" s="4">
        <v>45902.0</v>
      </c>
      <c r="D40" s="5" t="s">
        <v>82</v>
      </c>
      <c r="E40" s="5">
        <v>135.0</v>
      </c>
      <c r="F40" s="5">
        <v>80.0</v>
      </c>
      <c r="G40" s="5">
        <v>8.0</v>
      </c>
      <c r="J40" s="10"/>
      <c r="K40" s="10"/>
      <c r="L40" s="10"/>
      <c r="M40" s="5">
        <v>223.0</v>
      </c>
      <c r="N40" s="7" t="str">
        <f>IFERROR(__xludf.DUMMYFUNCTION("""COMPUTED_VALUE"""),"")</f>
        <v/>
      </c>
      <c r="O40" s="8" t="str">
        <f>IFERROR(__xludf.DUMMYFUNCTION("""COMPUTED_VALUE"""),"")</f>
        <v/>
      </c>
    </row>
    <row r="41" ht="22.5" customHeight="1">
      <c r="A41" s="3">
        <v>45909.9395465625</v>
      </c>
      <c r="B41" s="4">
        <v>45902.0</v>
      </c>
      <c r="C41" s="4">
        <v>45901.0</v>
      </c>
      <c r="D41" s="5" t="s">
        <v>83</v>
      </c>
      <c r="E41" s="5">
        <v>191.0</v>
      </c>
      <c r="F41" s="5">
        <v>60.0</v>
      </c>
      <c r="G41" s="5">
        <v>17.0</v>
      </c>
      <c r="I41" s="5" t="s">
        <v>84</v>
      </c>
      <c r="J41" s="10"/>
      <c r="K41" s="10"/>
      <c r="L41" s="10"/>
      <c r="M41" s="5">
        <v>268.0</v>
      </c>
      <c r="N41" s="7">
        <f>IFERROR(__xludf.DUMMYFUNCTION("""COMPUTED_VALUE"""),5.666666666666667)</f>
        <v>5.666666667</v>
      </c>
      <c r="O41" s="8" t="str">
        <f>IFERROR(__xludf.DUMMYFUNCTION("""COMPUTED_VALUE"""),"")</f>
        <v/>
      </c>
    </row>
    <row r="42" ht="22.5" customHeight="1">
      <c r="A42" s="3">
        <v>45909.938954745376</v>
      </c>
      <c r="B42" s="4">
        <v>45902.0</v>
      </c>
      <c r="C42" s="4">
        <v>45901.0</v>
      </c>
      <c r="D42" s="5" t="s">
        <v>85</v>
      </c>
      <c r="E42" s="5">
        <v>243.0</v>
      </c>
      <c r="G42" s="5">
        <v>10.0</v>
      </c>
      <c r="J42" s="10"/>
      <c r="K42" s="10"/>
      <c r="L42" s="10"/>
      <c r="M42" s="5">
        <v>253.0</v>
      </c>
      <c r="N42" s="7" t="str">
        <f>IFERROR(__xludf.DUMMYFUNCTION("""COMPUTED_VALUE"""),"")</f>
        <v/>
      </c>
      <c r="O42" s="8" t="str">
        <f>IFERROR(__xludf.DUMMYFUNCTION("""COMPUTED_VALUE"""),"")</f>
        <v/>
      </c>
    </row>
    <row r="43" ht="22.5" customHeight="1">
      <c r="A43" s="3">
        <v>45909.93827456019</v>
      </c>
      <c r="B43" s="4">
        <v>45902.0</v>
      </c>
      <c r="C43" s="4">
        <v>45901.0</v>
      </c>
      <c r="D43" s="5" t="s">
        <v>86</v>
      </c>
      <c r="E43" s="5">
        <v>226.0</v>
      </c>
      <c r="G43" s="5">
        <v>15.0</v>
      </c>
      <c r="J43" s="10"/>
      <c r="K43" s="10"/>
      <c r="L43" s="10"/>
      <c r="M43" s="5">
        <v>241.0</v>
      </c>
      <c r="N43" s="7" t="str">
        <f>IFERROR(__xludf.DUMMYFUNCTION("""COMPUTED_VALUE"""),"")</f>
        <v/>
      </c>
      <c r="O43" s="8" t="str">
        <f>IFERROR(__xludf.DUMMYFUNCTION("""COMPUTED_VALUE"""),"")</f>
        <v/>
      </c>
    </row>
    <row r="44" ht="22.5" customHeight="1">
      <c r="A44" s="3">
        <v>45909.937690844905</v>
      </c>
      <c r="B44" s="4">
        <v>45902.0</v>
      </c>
      <c r="C44" s="4">
        <v>45900.0</v>
      </c>
      <c r="D44" s="5" t="s">
        <v>87</v>
      </c>
      <c r="E44" s="5">
        <v>224.0</v>
      </c>
      <c r="F44" s="5">
        <v>7.0</v>
      </c>
      <c r="G44" s="5">
        <v>18.0</v>
      </c>
      <c r="J44" s="10"/>
      <c r="K44" s="10"/>
      <c r="L44" s="10"/>
      <c r="M44" s="5">
        <v>249.0</v>
      </c>
      <c r="N44" s="7" t="str">
        <f>IFERROR(__xludf.DUMMYFUNCTION("""COMPUTED_VALUE"""),"")</f>
        <v/>
      </c>
      <c r="O44" s="8" t="str">
        <f>IFERROR(__xludf.DUMMYFUNCTION("""COMPUTED_VALUE"""),"")</f>
        <v/>
      </c>
    </row>
    <row r="45" ht="22.5" customHeight="1">
      <c r="A45" s="3">
        <v>45909.937186006944</v>
      </c>
      <c r="B45" s="4">
        <v>45901.0</v>
      </c>
      <c r="C45" s="4">
        <v>45900.0</v>
      </c>
      <c r="D45" s="5" t="s">
        <v>88</v>
      </c>
      <c r="E45" s="5">
        <v>178.0</v>
      </c>
      <c r="F45" s="5">
        <v>27.0</v>
      </c>
      <c r="G45" s="5">
        <v>15.0</v>
      </c>
      <c r="I45" s="5" t="s">
        <v>89</v>
      </c>
      <c r="J45" s="10"/>
      <c r="K45" s="10"/>
      <c r="L45" s="10"/>
      <c r="M45" s="5">
        <v>220.0</v>
      </c>
      <c r="N45" s="7">
        <f>IFERROR(__xludf.DUMMYFUNCTION("""COMPUTED_VALUE"""),3.8666666666666667)</f>
        <v>3.866666667</v>
      </c>
      <c r="O45" s="8" t="str">
        <f>IFERROR(__xludf.DUMMYFUNCTION("""COMPUTED_VALUE"""),"")</f>
        <v/>
      </c>
    </row>
    <row r="46" ht="22.5" customHeight="1">
      <c r="A46" s="3">
        <v>45909.936608055556</v>
      </c>
      <c r="B46" s="4">
        <v>45901.0</v>
      </c>
      <c r="C46" s="4">
        <v>45900.0</v>
      </c>
      <c r="D46" s="5" t="s">
        <v>90</v>
      </c>
      <c r="E46" s="5">
        <v>453.0</v>
      </c>
      <c r="F46" s="5">
        <v>42.0</v>
      </c>
      <c r="G46" s="5">
        <v>42.0</v>
      </c>
      <c r="J46" s="10"/>
      <c r="K46" s="10"/>
      <c r="L46" s="10"/>
      <c r="M46" s="5">
        <v>537.0</v>
      </c>
      <c r="N46" s="7" t="str">
        <f>IFERROR(__xludf.DUMMYFUNCTION("""COMPUTED_VALUE"""),"")</f>
        <v/>
      </c>
      <c r="O46" s="8" t="str">
        <f>IFERROR(__xludf.DUMMYFUNCTION("""COMPUTED_VALUE"""),"")</f>
        <v/>
      </c>
    </row>
    <row r="47" ht="22.5" customHeight="1">
      <c r="A47" s="3">
        <v>45909.935996782406</v>
      </c>
      <c r="B47" s="4">
        <v>45901.0</v>
      </c>
      <c r="C47" s="4">
        <v>45900.0</v>
      </c>
      <c r="D47" s="5" t="s">
        <v>91</v>
      </c>
      <c r="E47" s="5">
        <v>381.0</v>
      </c>
      <c r="F47" s="5">
        <v>83.0</v>
      </c>
      <c r="G47" s="5">
        <v>19.0</v>
      </c>
      <c r="J47" s="10"/>
      <c r="K47" s="10"/>
      <c r="L47" s="10"/>
      <c r="M47" s="5">
        <v>483.0</v>
      </c>
      <c r="N47" s="7" t="str">
        <f>IFERROR(__xludf.DUMMYFUNCTION("""COMPUTED_VALUE"""),"")</f>
        <v/>
      </c>
      <c r="O47" s="8" t="str">
        <f>IFERROR(__xludf.DUMMYFUNCTION("""COMPUTED_VALUE"""),"")</f>
        <v/>
      </c>
    </row>
    <row r="48" ht="22.5" customHeight="1">
      <c r="A48" s="3">
        <v>45899.489294942134</v>
      </c>
      <c r="B48" s="4">
        <v>45899.0</v>
      </c>
      <c r="C48" s="4">
        <v>45898.0</v>
      </c>
      <c r="D48" s="5" t="s">
        <v>92</v>
      </c>
      <c r="E48" s="5">
        <v>167.0</v>
      </c>
      <c r="F48" s="5">
        <v>51.0</v>
      </c>
      <c r="G48" s="5">
        <v>14.0</v>
      </c>
      <c r="I48" s="5" t="s">
        <v>67</v>
      </c>
      <c r="J48" s="10"/>
      <c r="K48" s="10"/>
      <c r="L48" s="10"/>
      <c r="M48" s="5">
        <v>232.0</v>
      </c>
      <c r="N48" s="7">
        <f>IFERROR(__xludf.DUMMYFUNCTION("""COMPUTED_VALUE"""),2.3333333333333335)</f>
        <v>2.333333333</v>
      </c>
      <c r="O48" s="8" t="str">
        <f>IFERROR(__xludf.DUMMYFUNCTION("""COMPUTED_VALUE"""),"")</f>
        <v/>
      </c>
    </row>
    <row r="49" ht="22.5" customHeight="1">
      <c r="A49" s="3">
        <v>45899.48876591436</v>
      </c>
      <c r="B49" s="4">
        <v>45899.0</v>
      </c>
      <c r="C49" s="4">
        <v>45898.0</v>
      </c>
      <c r="D49" s="5" t="s">
        <v>93</v>
      </c>
      <c r="E49" s="5">
        <v>190.0</v>
      </c>
      <c r="F49" s="5">
        <v>19.0</v>
      </c>
      <c r="G49" s="5">
        <v>13.0</v>
      </c>
      <c r="J49" s="10"/>
      <c r="K49" s="10"/>
      <c r="L49" s="10"/>
      <c r="M49" s="5">
        <v>222.0</v>
      </c>
      <c r="N49" s="7" t="str">
        <f>IFERROR(__xludf.DUMMYFUNCTION("""COMPUTED_VALUE"""),"")</f>
        <v/>
      </c>
      <c r="O49" s="8" t="str">
        <f>IFERROR(__xludf.DUMMYFUNCTION("""COMPUTED_VALUE"""),"")</f>
        <v/>
      </c>
    </row>
    <row r="50" ht="22.5" customHeight="1">
      <c r="A50" s="3">
        <v>45899.48834435185</v>
      </c>
      <c r="B50" s="4">
        <v>45899.0</v>
      </c>
      <c r="C50" s="4">
        <v>45898.0</v>
      </c>
      <c r="D50" s="5" t="s">
        <v>94</v>
      </c>
      <c r="E50" s="5">
        <v>164.0</v>
      </c>
      <c r="F50" s="5">
        <v>36.0</v>
      </c>
      <c r="G50" s="5">
        <v>7.0</v>
      </c>
      <c r="J50" s="10"/>
      <c r="K50" s="10"/>
      <c r="L50" s="10"/>
      <c r="M50" s="5">
        <v>207.0</v>
      </c>
      <c r="N50" s="7" t="str">
        <f>IFERROR(__xludf.DUMMYFUNCTION("""COMPUTED_VALUE"""),"")</f>
        <v/>
      </c>
      <c r="O50" s="8" t="str">
        <f>IFERROR(__xludf.DUMMYFUNCTION("""COMPUTED_VALUE"""),"")</f>
        <v/>
      </c>
    </row>
    <row r="51" ht="22.5" customHeight="1">
      <c r="A51" s="3">
        <v>45899.486773564815</v>
      </c>
      <c r="B51" s="4">
        <v>45898.0</v>
      </c>
      <c r="C51" s="4">
        <v>45897.0</v>
      </c>
      <c r="D51" s="5" t="s">
        <v>95</v>
      </c>
      <c r="E51" s="5">
        <v>148.0</v>
      </c>
      <c r="F51" s="5">
        <v>63.0</v>
      </c>
      <c r="G51" s="5">
        <v>18.0</v>
      </c>
      <c r="H51" s="5" t="s">
        <v>96</v>
      </c>
      <c r="I51" s="5" t="s">
        <v>97</v>
      </c>
      <c r="J51" s="10"/>
      <c r="K51" s="10"/>
      <c r="L51" s="10"/>
      <c r="M51" s="5">
        <v>229.1</v>
      </c>
      <c r="N51" s="7">
        <f>IFERROR(__xludf.DUMMYFUNCTION("""COMPUTED_VALUE"""),3.8333333333333335)</f>
        <v>3.833333333</v>
      </c>
      <c r="O51" s="8" t="str">
        <f>IFERROR(__xludf.DUMMYFUNCTION("""COMPUTED_VALUE"""),"")</f>
        <v/>
      </c>
    </row>
    <row r="52" ht="22.5" customHeight="1">
      <c r="A52" s="3">
        <v>45899.48621456018</v>
      </c>
      <c r="B52" s="4">
        <v>45898.0</v>
      </c>
      <c r="C52" s="4">
        <v>45897.0</v>
      </c>
      <c r="D52" s="5" t="s">
        <v>98</v>
      </c>
      <c r="E52" s="5">
        <v>297.0</v>
      </c>
      <c r="G52" s="5">
        <v>20.0</v>
      </c>
      <c r="H52" s="5" t="s">
        <v>99</v>
      </c>
      <c r="J52" s="10"/>
      <c r="K52" s="10"/>
      <c r="L52" s="10"/>
      <c r="M52" s="5">
        <v>317.1</v>
      </c>
      <c r="N52" s="7" t="str">
        <f>IFERROR(__xludf.DUMMYFUNCTION("""COMPUTED_VALUE"""),"")</f>
        <v/>
      </c>
      <c r="O52" s="8" t="str">
        <f>IFERROR(__xludf.DUMMYFUNCTION("""COMPUTED_VALUE"""),"")</f>
        <v/>
      </c>
    </row>
    <row r="53" ht="22.5" customHeight="1">
      <c r="A53" s="3">
        <v>45899.48566774305</v>
      </c>
      <c r="B53" s="4">
        <v>45898.0</v>
      </c>
      <c r="C53" s="4">
        <v>45897.0</v>
      </c>
      <c r="D53" s="5" t="s">
        <v>100</v>
      </c>
      <c r="E53" s="5">
        <v>256.0</v>
      </c>
      <c r="G53" s="5">
        <v>10.0</v>
      </c>
      <c r="J53" s="10"/>
      <c r="K53" s="10"/>
      <c r="L53" s="10"/>
      <c r="M53" s="5">
        <v>266.0</v>
      </c>
      <c r="N53" s="7" t="str">
        <f>IFERROR(__xludf.DUMMYFUNCTION("""COMPUTED_VALUE"""),"")</f>
        <v/>
      </c>
      <c r="O53" s="8" t="str">
        <f>IFERROR(__xludf.DUMMYFUNCTION("""COMPUTED_VALUE"""),"")</f>
        <v/>
      </c>
    </row>
    <row r="54" ht="22.5" customHeight="1">
      <c r="A54" s="3">
        <v>45899.4852708449</v>
      </c>
      <c r="B54" s="4">
        <v>45898.0</v>
      </c>
      <c r="C54" s="4">
        <v>45896.0</v>
      </c>
      <c r="D54" s="5" t="s">
        <v>101</v>
      </c>
      <c r="E54" s="5">
        <v>52.0</v>
      </c>
      <c r="F54" s="5">
        <v>6.0</v>
      </c>
      <c r="G54" s="5">
        <v>4.0</v>
      </c>
      <c r="J54" s="10"/>
      <c r="K54" s="10"/>
      <c r="L54" s="10"/>
      <c r="M54" s="5">
        <v>62.0</v>
      </c>
      <c r="N54" s="7" t="str">
        <f>IFERROR(__xludf.DUMMYFUNCTION("""COMPUTED_VALUE"""),"")</f>
        <v/>
      </c>
      <c r="O54" s="8" t="str">
        <f>IFERROR(__xludf.DUMMYFUNCTION("""COMPUTED_VALUE"""),"")</f>
        <v/>
      </c>
    </row>
    <row r="55" ht="22.5" customHeight="1">
      <c r="A55" s="3">
        <v>45897.695613414355</v>
      </c>
      <c r="B55" s="4">
        <v>45897.0</v>
      </c>
      <c r="C55" s="4">
        <v>45896.0</v>
      </c>
      <c r="D55" s="5" t="s">
        <v>102</v>
      </c>
      <c r="E55" s="5">
        <v>173.0</v>
      </c>
      <c r="F55" s="5">
        <v>32.0</v>
      </c>
      <c r="G55" s="5">
        <v>10.0</v>
      </c>
      <c r="I55" s="5" t="s">
        <v>103</v>
      </c>
      <c r="J55" s="10"/>
      <c r="K55" s="10"/>
      <c r="L55" s="10"/>
      <c r="M55" s="5">
        <v>215.0</v>
      </c>
      <c r="N55" s="7">
        <f>IFERROR(__xludf.DUMMYFUNCTION("""COMPUTED_VALUE"""),4.766666666666667)</f>
        <v>4.766666667</v>
      </c>
      <c r="O55" s="8" t="str">
        <f>IFERROR(__xludf.DUMMYFUNCTION("""COMPUTED_VALUE"""),"")</f>
        <v/>
      </c>
    </row>
    <row r="56" ht="22.5" customHeight="1">
      <c r="A56" s="3">
        <v>45897.694928530094</v>
      </c>
      <c r="B56" s="4">
        <v>45897.0</v>
      </c>
      <c r="C56" s="4">
        <v>45896.0</v>
      </c>
      <c r="D56" s="5" t="s">
        <v>104</v>
      </c>
      <c r="E56" s="5">
        <v>237.0</v>
      </c>
      <c r="F56" s="5">
        <v>15.0</v>
      </c>
      <c r="G56" s="5">
        <v>17.0</v>
      </c>
      <c r="J56" s="10"/>
      <c r="K56" s="10"/>
      <c r="L56" s="10"/>
      <c r="M56" s="5">
        <v>269.0</v>
      </c>
      <c r="N56" s="7" t="str">
        <f>IFERROR(__xludf.DUMMYFUNCTION("""COMPUTED_VALUE"""),"")</f>
        <v/>
      </c>
      <c r="O56" s="8" t="str">
        <f>IFERROR(__xludf.DUMMYFUNCTION("""COMPUTED_VALUE"""),"")</f>
        <v/>
      </c>
    </row>
    <row r="57" ht="22.5" customHeight="1">
      <c r="A57" s="3">
        <v>45897.69433074074</v>
      </c>
      <c r="B57" s="4">
        <v>45897.0</v>
      </c>
      <c r="C57" s="4">
        <v>45896.0</v>
      </c>
      <c r="D57" s="5" t="s">
        <v>105</v>
      </c>
      <c r="E57" s="5">
        <v>214.0</v>
      </c>
      <c r="F57" s="5">
        <v>19.0</v>
      </c>
      <c r="G57" s="5">
        <v>6.0</v>
      </c>
      <c r="J57" s="10"/>
      <c r="K57" s="10"/>
      <c r="L57" s="10"/>
      <c r="M57" s="5">
        <v>239.0</v>
      </c>
      <c r="N57" s="7" t="str">
        <f>IFERROR(__xludf.DUMMYFUNCTION("""COMPUTED_VALUE"""),"")</f>
        <v/>
      </c>
      <c r="O57" s="8" t="str">
        <f>IFERROR(__xludf.DUMMYFUNCTION("""COMPUTED_VALUE"""),"")</f>
        <v/>
      </c>
    </row>
    <row r="58" ht="22.5" customHeight="1">
      <c r="A58" s="3">
        <v>45897.69381210648</v>
      </c>
      <c r="B58" s="4">
        <v>45897.0</v>
      </c>
      <c r="C58" s="4">
        <v>45895.0</v>
      </c>
      <c r="D58" s="5" t="s">
        <v>106</v>
      </c>
      <c r="E58" s="5">
        <v>170.0</v>
      </c>
      <c r="F58" s="5">
        <v>23.0</v>
      </c>
      <c r="G58" s="5">
        <v>13.0</v>
      </c>
      <c r="J58" s="10"/>
      <c r="K58" s="10"/>
      <c r="L58" s="10"/>
      <c r="M58" s="5">
        <v>206.0</v>
      </c>
      <c r="N58" s="7" t="str">
        <f>IFERROR(__xludf.DUMMYFUNCTION("""COMPUTED_VALUE"""),"")</f>
        <v/>
      </c>
      <c r="O58" s="8" t="str">
        <f>IFERROR(__xludf.DUMMYFUNCTION("""COMPUTED_VALUE"""),"")</f>
        <v/>
      </c>
    </row>
    <row r="59" ht="22.5" customHeight="1">
      <c r="A59" s="3">
        <v>45897.69329660879</v>
      </c>
      <c r="B59" s="4">
        <v>45897.0</v>
      </c>
      <c r="C59" s="4">
        <v>45895.0</v>
      </c>
      <c r="D59" s="5" t="s">
        <v>107</v>
      </c>
      <c r="E59" s="5">
        <v>93.0</v>
      </c>
      <c r="F59" s="5">
        <v>18.0</v>
      </c>
      <c r="G59" s="5">
        <v>7.0</v>
      </c>
      <c r="H59" s="5" t="s">
        <v>99</v>
      </c>
      <c r="J59" s="10"/>
      <c r="K59" s="10"/>
      <c r="L59" s="10"/>
      <c r="M59" s="5">
        <v>118.1</v>
      </c>
      <c r="N59" s="7" t="str">
        <f>IFERROR(__xludf.DUMMYFUNCTION("""COMPUTED_VALUE"""),"")</f>
        <v/>
      </c>
      <c r="O59" s="8" t="str">
        <f>IFERROR(__xludf.DUMMYFUNCTION("""COMPUTED_VALUE"""),"")</f>
        <v/>
      </c>
    </row>
    <row r="60" ht="22.5" customHeight="1">
      <c r="A60" s="3">
        <v>45896.70098858797</v>
      </c>
      <c r="B60" s="4">
        <v>45896.0</v>
      </c>
      <c r="C60" s="4">
        <v>45895.0</v>
      </c>
      <c r="D60" s="5" t="s">
        <v>108</v>
      </c>
      <c r="E60" s="5">
        <v>143.0</v>
      </c>
      <c r="F60" s="5">
        <v>6.0</v>
      </c>
      <c r="G60" s="5">
        <v>11.0</v>
      </c>
      <c r="I60" s="5" t="s">
        <v>52</v>
      </c>
      <c r="J60" s="10"/>
      <c r="K60" s="10"/>
      <c r="L60" s="10"/>
      <c r="M60" s="5">
        <v>160.0</v>
      </c>
      <c r="N60" s="7">
        <f>IFERROR(__xludf.DUMMYFUNCTION("""COMPUTED_VALUE"""),7.0)</f>
        <v>7</v>
      </c>
      <c r="O60" s="8" t="str">
        <f>IFERROR(__xludf.DUMMYFUNCTION("""COMPUTED_VALUE"""),"")</f>
        <v/>
      </c>
    </row>
    <row r="61" ht="22.5" customHeight="1">
      <c r="A61" s="3">
        <v>45896.70053145834</v>
      </c>
      <c r="B61" s="4">
        <v>45896.0</v>
      </c>
      <c r="C61" s="4">
        <v>45895.0</v>
      </c>
      <c r="D61" s="5" t="s">
        <v>109</v>
      </c>
      <c r="E61" s="5">
        <v>219.0</v>
      </c>
      <c r="F61" s="5">
        <v>11.0</v>
      </c>
      <c r="G61" s="5">
        <v>9.0</v>
      </c>
      <c r="J61" s="10"/>
      <c r="K61" s="10"/>
      <c r="L61" s="10"/>
      <c r="M61" s="5">
        <v>239.0</v>
      </c>
      <c r="N61" s="7" t="str">
        <f>IFERROR(__xludf.DUMMYFUNCTION("""COMPUTED_VALUE"""),"")</f>
        <v/>
      </c>
      <c r="O61" s="8" t="str">
        <f>IFERROR(__xludf.DUMMYFUNCTION("""COMPUTED_VALUE"""),"")</f>
        <v/>
      </c>
    </row>
    <row r="62" ht="22.5" customHeight="1">
      <c r="A62" s="3">
        <v>45896.69956454861</v>
      </c>
      <c r="B62" s="4">
        <v>45896.0</v>
      </c>
      <c r="C62" s="4">
        <v>45894.0</v>
      </c>
      <c r="D62" s="5" t="s">
        <v>110</v>
      </c>
      <c r="E62" s="5">
        <v>421.0</v>
      </c>
      <c r="F62" s="5">
        <v>42.0</v>
      </c>
      <c r="G62" s="5">
        <v>32.0</v>
      </c>
      <c r="J62" s="10"/>
      <c r="K62" s="10"/>
      <c r="L62" s="10"/>
      <c r="M62" s="5">
        <v>495.0</v>
      </c>
      <c r="N62" s="7" t="str">
        <f>IFERROR(__xludf.DUMMYFUNCTION("""COMPUTED_VALUE"""),"")</f>
        <v/>
      </c>
      <c r="O62" s="8" t="str">
        <f>IFERROR(__xludf.DUMMYFUNCTION("""COMPUTED_VALUE"""),"")</f>
        <v/>
      </c>
    </row>
    <row r="63" ht="22.5" customHeight="1">
      <c r="A63" s="3">
        <v>45896.69907038195</v>
      </c>
      <c r="B63" s="4">
        <v>45896.0</v>
      </c>
      <c r="C63" s="4">
        <v>45894.0</v>
      </c>
      <c r="D63" s="5" t="s">
        <v>111</v>
      </c>
      <c r="E63" s="5">
        <v>150.0</v>
      </c>
      <c r="F63" s="5">
        <v>6.0</v>
      </c>
      <c r="G63" s="5">
        <v>11.0</v>
      </c>
      <c r="J63" s="10"/>
      <c r="K63" s="10"/>
      <c r="L63" s="10"/>
      <c r="M63" s="5">
        <v>167.0</v>
      </c>
      <c r="N63" s="7" t="str">
        <f>IFERROR(__xludf.DUMMYFUNCTION("""COMPUTED_VALUE"""),"")</f>
        <v/>
      </c>
      <c r="O63" s="8" t="str">
        <f>IFERROR(__xludf.DUMMYFUNCTION("""COMPUTED_VALUE"""),"")</f>
        <v/>
      </c>
    </row>
    <row r="64" ht="22.5" customHeight="1">
      <c r="A64" s="3">
        <v>45896.5394905787</v>
      </c>
      <c r="B64" s="4">
        <v>45895.0</v>
      </c>
      <c r="C64" s="4">
        <v>45893.0</v>
      </c>
      <c r="D64" s="5" t="s">
        <v>112</v>
      </c>
      <c r="E64" s="5">
        <v>239.0</v>
      </c>
      <c r="F64" s="5">
        <v>53.0</v>
      </c>
      <c r="G64" s="5">
        <v>21.0</v>
      </c>
      <c r="I64" s="5" t="s">
        <v>113</v>
      </c>
      <c r="J64" s="10"/>
      <c r="K64" s="10"/>
      <c r="L64" s="10"/>
      <c r="M64" s="5">
        <v>313.0</v>
      </c>
      <c r="N64" s="7">
        <f>IFERROR(__xludf.DUMMYFUNCTION("""COMPUTED_VALUE"""),1.9)</f>
        <v>1.9</v>
      </c>
      <c r="O64" s="8" t="str">
        <f>IFERROR(__xludf.DUMMYFUNCTION("""COMPUTED_VALUE"""),"")</f>
        <v/>
      </c>
    </row>
    <row r="65" ht="22.5" customHeight="1">
      <c r="A65" s="3">
        <v>45896.53888791667</v>
      </c>
      <c r="B65" s="4">
        <v>45895.0</v>
      </c>
      <c r="C65" s="4">
        <v>45893.0</v>
      </c>
      <c r="D65" s="5" t="s">
        <v>114</v>
      </c>
      <c r="E65" s="5">
        <v>398.0</v>
      </c>
      <c r="F65" s="5">
        <v>90.0</v>
      </c>
      <c r="G65" s="5">
        <v>21.0</v>
      </c>
      <c r="H65" s="5" t="s">
        <v>99</v>
      </c>
      <c r="J65" s="10"/>
      <c r="K65" s="10"/>
      <c r="L65" s="10"/>
      <c r="M65" s="5">
        <v>509.1</v>
      </c>
      <c r="N65" s="7" t="str">
        <f>IFERROR(__xludf.DUMMYFUNCTION("""COMPUTED_VALUE"""),"")</f>
        <v/>
      </c>
      <c r="O65" s="8" t="str">
        <f>IFERROR(__xludf.DUMMYFUNCTION("""COMPUTED_VALUE"""),"")</f>
        <v/>
      </c>
    </row>
    <row r="66" ht="22.5" customHeight="1">
      <c r="A66" s="3">
        <v>45896.53804640046</v>
      </c>
      <c r="B66" s="4">
        <v>45894.0</v>
      </c>
      <c r="C66" s="4">
        <v>45892.0</v>
      </c>
      <c r="D66" s="5" t="s">
        <v>115</v>
      </c>
      <c r="E66" s="5">
        <v>225.0</v>
      </c>
      <c r="F66" s="5">
        <v>33.0</v>
      </c>
      <c r="G66" s="5">
        <v>22.0</v>
      </c>
      <c r="I66" s="5" t="s">
        <v>116</v>
      </c>
      <c r="J66" s="10"/>
      <c r="K66" s="10"/>
      <c r="L66" s="10"/>
      <c r="M66" s="5">
        <v>280.0</v>
      </c>
      <c r="N66" s="7">
        <f>IFERROR(__xludf.DUMMYFUNCTION("""COMPUTED_VALUE"""),6.333333333333333)</f>
        <v>6.333333333</v>
      </c>
      <c r="O66" s="8" t="str">
        <f>IFERROR(__xludf.DUMMYFUNCTION("""COMPUTED_VALUE"""),"")</f>
        <v/>
      </c>
    </row>
    <row r="67" ht="22.5" customHeight="1">
      <c r="A67" s="3">
        <v>45896.53735513889</v>
      </c>
      <c r="B67" s="4">
        <v>45894.0</v>
      </c>
      <c r="C67" s="4">
        <v>45892.0</v>
      </c>
      <c r="D67" s="5" t="s">
        <v>117</v>
      </c>
      <c r="E67" s="5">
        <v>217.0</v>
      </c>
      <c r="F67" s="5">
        <v>59.0</v>
      </c>
      <c r="G67" s="5">
        <v>20.0</v>
      </c>
      <c r="J67" s="10"/>
      <c r="K67" s="10"/>
      <c r="L67" s="10"/>
      <c r="M67" s="5">
        <v>294.0</v>
      </c>
      <c r="N67" s="7" t="str">
        <f>IFERROR(__xludf.DUMMYFUNCTION("""COMPUTED_VALUE"""),"")</f>
        <v/>
      </c>
      <c r="O67" s="8" t="str">
        <f>IFERROR(__xludf.DUMMYFUNCTION("""COMPUTED_VALUE"""),"")</f>
        <v/>
      </c>
    </row>
    <row r="68" ht="22.5" customHeight="1">
      <c r="A68" s="3">
        <v>45896.53674053241</v>
      </c>
      <c r="B68" s="4">
        <v>45894.0</v>
      </c>
      <c r="C68" s="4">
        <v>45892.0</v>
      </c>
      <c r="D68" s="5" t="s">
        <v>68</v>
      </c>
      <c r="E68" s="5">
        <v>150.0</v>
      </c>
      <c r="F68" s="5">
        <v>65.0</v>
      </c>
      <c r="G68" s="5">
        <v>9.0</v>
      </c>
      <c r="H68" s="5" t="s">
        <v>99</v>
      </c>
      <c r="J68" s="10"/>
      <c r="K68" s="10"/>
      <c r="L68" s="10"/>
      <c r="M68" s="5">
        <v>224.1</v>
      </c>
      <c r="N68" s="7" t="str">
        <f>IFERROR(__xludf.DUMMYFUNCTION("""COMPUTED_VALUE"""),"")</f>
        <v/>
      </c>
      <c r="O68" s="8" t="str">
        <f>IFERROR(__xludf.DUMMYFUNCTION("""COMPUTED_VALUE"""),"")</f>
        <v/>
      </c>
    </row>
    <row r="69" ht="22.5" customHeight="1">
      <c r="A69" s="3">
        <v>45896.53611724537</v>
      </c>
      <c r="B69" s="4">
        <v>45894.0</v>
      </c>
      <c r="C69" s="4">
        <v>45891.0</v>
      </c>
      <c r="D69" s="5" t="s">
        <v>53</v>
      </c>
      <c r="E69" s="5">
        <v>102.0</v>
      </c>
      <c r="F69" s="5">
        <v>34.0</v>
      </c>
      <c r="G69" s="5">
        <v>9.0</v>
      </c>
      <c r="H69" s="5" t="s">
        <v>99</v>
      </c>
      <c r="J69" s="10"/>
      <c r="K69" s="10"/>
      <c r="L69" s="10"/>
      <c r="M69" s="5">
        <v>145.1</v>
      </c>
      <c r="N69" s="7" t="str">
        <f>IFERROR(__xludf.DUMMYFUNCTION("""COMPUTED_VALUE"""),"")</f>
        <v/>
      </c>
      <c r="O69" s="8" t="str">
        <f>IFERROR(__xludf.DUMMYFUNCTION("""COMPUTED_VALUE"""),"")</f>
        <v/>
      </c>
    </row>
    <row r="70" ht="22.5" customHeight="1">
      <c r="A70" s="3">
        <v>45896.53540635417</v>
      </c>
      <c r="B70" s="4">
        <v>45894.0</v>
      </c>
      <c r="C70" s="4">
        <v>45891.0</v>
      </c>
      <c r="D70" s="5" t="s">
        <v>118</v>
      </c>
      <c r="E70" s="5">
        <v>142.0</v>
      </c>
      <c r="F70" s="5">
        <v>64.0</v>
      </c>
      <c r="G70" s="5">
        <v>11.0</v>
      </c>
      <c r="H70" s="5" t="s">
        <v>99</v>
      </c>
      <c r="J70" s="10"/>
      <c r="K70" s="10"/>
      <c r="L70" s="10"/>
      <c r="M70" s="5">
        <v>217.1</v>
      </c>
      <c r="N70" s="7" t="str">
        <f>IFERROR(__xludf.DUMMYFUNCTION("""COMPUTED_VALUE"""),"")</f>
        <v/>
      </c>
      <c r="O70" s="8" t="str">
        <f>IFERROR(__xludf.DUMMYFUNCTION("""COMPUTED_VALUE"""),"")</f>
        <v/>
      </c>
    </row>
    <row r="71" ht="22.5" customHeight="1">
      <c r="A71" s="3">
        <v>45896.53478616898</v>
      </c>
      <c r="B71" s="4">
        <v>45892.0</v>
      </c>
      <c r="C71" s="4">
        <v>45891.0</v>
      </c>
      <c r="D71" s="5" t="s">
        <v>119</v>
      </c>
      <c r="E71" s="5">
        <v>27.0</v>
      </c>
      <c r="F71" s="5">
        <v>6.0</v>
      </c>
      <c r="G71" s="5">
        <v>2.0</v>
      </c>
      <c r="I71" s="5" t="s">
        <v>120</v>
      </c>
      <c r="J71" s="10"/>
      <c r="K71" s="10"/>
      <c r="L71" s="10"/>
      <c r="M71" s="5">
        <v>35.0</v>
      </c>
      <c r="N71" s="7">
        <f>IFERROR(__xludf.DUMMYFUNCTION("""COMPUTED_VALUE"""),1.3333333333333333)</f>
        <v>1.333333333</v>
      </c>
      <c r="O71" s="8" t="str">
        <f>IFERROR(__xludf.DUMMYFUNCTION("""COMPUTED_VALUE"""),"")</f>
        <v/>
      </c>
    </row>
    <row r="72" ht="22.5" customHeight="1">
      <c r="A72" s="3">
        <v>45896.53422707176</v>
      </c>
      <c r="B72" s="4">
        <v>45892.0</v>
      </c>
      <c r="C72" s="4">
        <v>45891.0</v>
      </c>
      <c r="D72" s="5" t="s">
        <v>121</v>
      </c>
      <c r="E72" s="5">
        <v>157.0</v>
      </c>
      <c r="F72" s="5">
        <v>76.0</v>
      </c>
      <c r="G72" s="5">
        <v>10.0</v>
      </c>
      <c r="J72" s="10"/>
      <c r="K72" s="10"/>
      <c r="L72" s="10"/>
      <c r="M72" s="5">
        <v>243.0</v>
      </c>
      <c r="N72" s="7" t="str">
        <f>IFERROR(__xludf.DUMMYFUNCTION("""COMPUTED_VALUE"""),"")</f>
        <v/>
      </c>
      <c r="O72" s="8" t="str">
        <f>IFERROR(__xludf.DUMMYFUNCTION("""COMPUTED_VALUE"""),"")</f>
        <v/>
      </c>
    </row>
    <row r="73" ht="22.5" customHeight="1">
      <c r="A73" s="3">
        <v>45896.53367931713</v>
      </c>
      <c r="B73" s="4">
        <v>45892.0</v>
      </c>
      <c r="C73" s="4">
        <v>45890.0</v>
      </c>
      <c r="D73" s="5" t="s">
        <v>122</v>
      </c>
      <c r="E73" s="5">
        <v>189.0</v>
      </c>
      <c r="F73" s="5">
        <v>68.0</v>
      </c>
      <c r="G73" s="5">
        <v>20.0</v>
      </c>
      <c r="H73" s="5" t="s">
        <v>99</v>
      </c>
      <c r="J73" s="10"/>
      <c r="K73" s="10"/>
      <c r="L73" s="10"/>
      <c r="M73" s="5">
        <v>277.1</v>
      </c>
      <c r="N73" s="7" t="str">
        <f>IFERROR(__xludf.DUMMYFUNCTION("""COMPUTED_VALUE"""),"")</f>
        <v/>
      </c>
      <c r="O73" s="8" t="str">
        <f>IFERROR(__xludf.DUMMYFUNCTION("""COMPUTED_VALUE"""),"")</f>
        <v/>
      </c>
    </row>
    <row r="74" ht="22.5" customHeight="1">
      <c r="A74" s="3">
        <v>45896.532963425925</v>
      </c>
      <c r="B74" s="4">
        <v>45891.0</v>
      </c>
      <c r="C74" s="4">
        <v>45890.0</v>
      </c>
      <c r="D74" s="5" t="s">
        <v>123</v>
      </c>
      <c r="E74" s="5">
        <v>223.0</v>
      </c>
      <c r="F74" s="5">
        <v>22.0</v>
      </c>
      <c r="G74" s="5">
        <v>19.0</v>
      </c>
      <c r="I74" s="5" t="s">
        <v>124</v>
      </c>
      <c r="J74" s="10"/>
      <c r="K74" s="10"/>
      <c r="L74" s="10"/>
      <c r="M74" s="5">
        <v>264.0</v>
      </c>
      <c r="N74" s="7">
        <f>IFERROR(__xludf.DUMMYFUNCTION("""COMPUTED_VALUE"""),4.8)</f>
        <v>4.8</v>
      </c>
      <c r="O74" s="8" t="str">
        <f>IFERROR(__xludf.DUMMYFUNCTION("""COMPUTED_VALUE"""),"")</f>
        <v/>
      </c>
    </row>
    <row r="75" ht="22.5" customHeight="1">
      <c r="A75" s="3">
        <v>45896.53232778935</v>
      </c>
      <c r="B75" s="4">
        <v>45891.0</v>
      </c>
      <c r="C75" s="4">
        <v>45890.0</v>
      </c>
      <c r="D75" s="5" t="s">
        <v>65</v>
      </c>
      <c r="E75" s="5">
        <v>233.0</v>
      </c>
      <c r="F75" s="5">
        <v>12.0</v>
      </c>
      <c r="G75" s="5">
        <v>13.0</v>
      </c>
      <c r="H75" s="5" t="s">
        <v>99</v>
      </c>
      <c r="J75" s="10"/>
      <c r="K75" s="10"/>
      <c r="L75" s="10"/>
      <c r="M75" s="5">
        <v>258.1</v>
      </c>
      <c r="N75" s="7" t="str">
        <f>IFERROR(__xludf.DUMMYFUNCTION("""COMPUTED_VALUE"""),"")</f>
        <v/>
      </c>
      <c r="O75" s="8" t="str">
        <f>IFERROR(__xludf.DUMMYFUNCTION("""COMPUTED_VALUE"""),"")</f>
        <v/>
      </c>
    </row>
    <row r="76" ht="22.5" customHeight="1">
      <c r="A76" s="3">
        <v>45896.53135885416</v>
      </c>
      <c r="B76" s="4">
        <v>45891.0</v>
      </c>
      <c r="C76" s="4">
        <v>45888.0</v>
      </c>
      <c r="D76" s="5" t="s">
        <v>125</v>
      </c>
      <c r="E76" s="5">
        <v>195.0</v>
      </c>
      <c r="F76" s="5">
        <v>21.0</v>
      </c>
      <c r="G76" s="5">
        <v>21.0</v>
      </c>
      <c r="H76" s="5" t="s">
        <v>99</v>
      </c>
      <c r="J76" s="10"/>
      <c r="K76" s="10"/>
      <c r="L76" s="10"/>
      <c r="M76" s="5">
        <v>237.1</v>
      </c>
      <c r="N76" s="7" t="str">
        <f>IFERROR(__xludf.DUMMYFUNCTION("""COMPUTED_VALUE"""),"")</f>
        <v/>
      </c>
      <c r="O76" s="8" t="str">
        <f>IFERROR(__xludf.DUMMYFUNCTION("""COMPUTED_VALUE"""),"")</f>
        <v/>
      </c>
    </row>
    <row r="77" ht="22.5" customHeight="1">
      <c r="A77" s="3">
        <v>45896.5307259375</v>
      </c>
      <c r="B77" s="4">
        <v>45890.0</v>
      </c>
      <c r="C77" s="4">
        <v>45889.0</v>
      </c>
      <c r="D77" s="5" t="s">
        <v>126</v>
      </c>
      <c r="E77" s="5">
        <v>249.0</v>
      </c>
      <c r="F77" s="5">
        <v>30.0</v>
      </c>
      <c r="G77" s="5">
        <v>21.0</v>
      </c>
      <c r="I77" s="5" t="s">
        <v>127</v>
      </c>
      <c r="J77" s="10"/>
      <c r="K77" s="10"/>
      <c r="L77" s="10"/>
      <c r="M77" s="5">
        <v>300.0</v>
      </c>
      <c r="N77" s="7">
        <f>IFERROR(__xludf.DUMMYFUNCTION("""COMPUTED_VALUE"""),5.166666666666667)</f>
        <v>5.166666667</v>
      </c>
      <c r="O77" s="8" t="str">
        <f>IFERROR(__xludf.DUMMYFUNCTION("""COMPUTED_VALUE"""),"")</f>
        <v/>
      </c>
    </row>
    <row r="78" ht="22.5" customHeight="1">
      <c r="A78" s="3">
        <v>45896.53005287037</v>
      </c>
      <c r="B78" s="4">
        <v>45890.0</v>
      </c>
      <c r="C78" s="4">
        <v>45888.0</v>
      </c>
      <c r="D78" s="5" t="s">
        <v>128</v>
      </c>
      <c r="E78" s="5">
        <v>153.0</v>
      </c>
      <c r="F78" s="5">
        <v>15.0</v>
      </c>
      <c r="G78" s="5">
        <v>14.0</v>
      </c>
      <c r="J78" s="10"/>
      <c r="K78" s="10"/>
      <c r="L78" s="10"/>
      <c r="M78" s="5">
        <v>182.0</v>
      </c>
      <c r="N78" s="7" t="str">
        <f>IFERROR(__xludf.DUMMYFUNCTION("""COMPUTED_VALUE"""),"")</f>
        <v/>
      </c>
      <c r="O78" s="8" t="str">
        <f>IFERROR(__xludf.DUMMYFUNCTION("""COMPUTED_VALUE"""),"")</f>
        <v/>
      </c>
    </row>
    <row r="79" ht="22.5" customHeight="1">
      <c r="A79" s="3">
        <v>45896.529597719906</v>
      </c>
      <c r="B79" s="4">
        <v>45890.0</v>
      </c>
      <c r="C79" s="4">
        <v>45888.0</v>
      </c>
      <c r="D79" s="5" t="s">
        <v>129</v>
      </c>
      <c r="E79" s="5">
        <v>33.0</v>
      </c>
      <c r="F79" s="5">
        <v>3.0</v>
      </c>
      <c r="G79" s="5">
        <v>2.0</v>
      </c>
      <c r="J79" s="10"/>
      <c r="K79" s="10"/>
      <c r="L79" s="10"/>
      <c r="M79" s="5">
        <v>38.0</v>
      </c>
      <c r="N79" s="7" t="str">
        <f>IFERROR(__xludf.DUMMYFUNCTION("""COMPUTED_VALUE"""),"")</f>
        <v/>
      </c>
      <c r="O79" s="8" t="str">
        <f>IFERROR(__xludf.DUMMYFUNCTION("""COMPUTED_VALUE"""),"")</f>
        <v/>
      </c>
    </row>
    <row r="80" ht="22.5" customHeight="1">
      <c r="A80" s="3">
        <v>45896.52910532407</v>
      </c>
      <c r="B80" s="4">
        <v>45890.0</v>
      </c>
      <c r="C80" s="4">
        <v>45888.0</v>
      </c>
      <c r="D80" s="5" t="s">
        <v>130</v>
      </c>
      <c r="E80" s="5">
        <v>341.0</v>
      </c>
      <c r="F80" s="5">
        <v>28.0</v>
      </c>
      <c r="G80" s="5">
        <v>16.0</v>
      </c>
      <c r="J80" s="10"/>
      <c r="K80" s="10"/>
      <c r="L80" s="10"/>
      <c r="M80" s="5">
        <v>449.0</v>
      </c>
      <c r="N80" s="7" t="str">
        <f>IFERROR(__xludf.DUMMYFUNCTION("""COMPUTED_VALUE"""),"")</f>
        <v/>
      </c>
      <c r="O80" s="8" t="str">
        <f>IFERROR(__xludf.DUMMYFUNCTION("""COMPUTED_VALUE"""),"")</f>
        <v/>
      </c>
    </row>
    <row r="81" ht="22.5" customHeight="1">
      <c r="A81" s="3">
        <v>45896.528538425926</v>
      </c>
      <c r="B81" s="4">
        <v>45890.0</v>
      </c>
      <c r="C81" s="4">
        <v>45888.0</v>
      </c>
      <c r="D81" s="5" t="s">
        <v>131</v>
      </c>
      <c r="E81" s="5">
        <v>291.0</v>
      </c>
      <c r="F81" s="5">
        <v>24.0</v>
      </c>
      <c r="G81" s="5">
        <v>18.0</v>
      </c>
      <c r="J81" s="10"/>
      <c r="K81" s="10"/>
      <c r="L81" s="10"/>
      <c r="M81" s="5">
        <v>333.0</v>
      </c>
      <c r="N81" s="7" t="str">
        <f>IFERROR(__xludf.DUMMYFUNCTION("""COMPUTED_VALUE"""),"")</f>
        <v/>
      </c>
      <c r="O81" s="8" t="str">
        <f>IFERROR(__xludf.DUMMYFUNCTION("""COMPUTED_VALUE"""),"")</f>
        <v/>
      </c>
    </row>
    <row r="82" ht="22.5" customHeight="1">
      <c r="A82" s="3">
        <v>45896.52766950231</v>
      </c>
      <c r="B82" s="4">
        <v>45889.0</v>
      </c>
      <c r="C82" s="4">
        <v>45886.0</v>
      </c>
      <c r="D82" s="5" t="s">
        <v>132</v>
      </c>
      <c r="E82" s="5">
        <v>137.0</v>
      </c>
      <c r="F82" s="5">
        <v>25.0</v>
      </c>
      <c r="G82" s="5">
        <v>14.0</v>
      </c>
      <c r="I82" s="5" t="s">
        <v>133</v>
      </c>
      <c r="J82" s="10"/>
      <c r="K82" s="10"/>
      <c r="L82" s="10"/>
      <c r="M82" s="5">
        <v>178.0</v>
      </c>
      <c r="N82" s="7">
        <f>IFERROR(__xludf.DUMMYFUNCTION("""COMPUTED_VALUE"""),2.8)</f>
        <v>2.8</v>
      </c>
      <c r="O82" s="8" t="str">
        <f>IFERROR(__xludf.DUMMYFUNCTION("""COMPUTED_VALUE"""),"")</f>
        <v/>
      </c>
    </row>
    <row r="83" ht="22.5" customHeight="1">
      <c r="A83" s="3">
        <v>45896.526992430554</v>
      </c>
      <c r="B83" s="4">
        <v>45889.0</v>
      </c>
      <c r="C83" s="4">
        <v>45886.0</v>
      </c>
      <c r="D83" s="5" t="s">
        <v>134</v>
      </c>
      <c r="E83" s="5">
        <v>303.0</v>
      </c>
      <c r="F83" s="5">
        <v>75.0</v>
      </c>
      <c r="G83" s="5">
        <v>22.0</v>
      </c>
      <c r="J83" s="10"/>
      <c r="K83" s="10"/>
      <c r="L83" s="10"/>
      <c r="M83" s="5">
        <v>400.0</v>
      </c>
      <c r="N83" s="7" t="str">
        <f>IFERROR(__xludf.DUMMYFUNCTION("""COMPUTED_VALUE"""),"")</f>
        <v/>
      </c>
      <c r="O83" s="8" t="str">
        <f>IFERROR(__xludf.DUMMYFUNCTION("""COMPUTED_VALUE"""),"")</f>
        <v/>
      </c>
    </row>
    <row r="84" ht="22.5" customHeight="1">
      <c r="A84" s="3">
        <v>45896.52648369213</v>
      </c>
      <c r="B84" s="4">
        <v>45888.0</v>
      </c>
      <c r="C84" s="4">
        <v>45886.0</v>
      </c>
      <c r="D84" s="5" t="s">
        <v>135</v>
      </c>
      <c r="E84" s="5">
        <v>256.0</v>
      </c>
      <c r="F84" s="5">
        <v>47.0</v>
      </c>
      <c r="G84" s="5">
        <v>23.0</v>
      </c>
      <c r="H84" s="5" t="s">
        <v>99</v>
      </c>
      <c r="I84" s="5" t="s">
        <v>136</v>
      </c>
      <c r="J84" s="10"/>
      <c r="K84" s="10"/>
      <c r="L84" s="10"/>
      <c r="M84" s="5">
        <v>326.1</v>
      </c>
      <c r="N84" s="7">
        <f>IFERROR(__xludf.DUMMYFUNCTION("""COMPUTED_VALUE"""),2.6666666666666665)</f>
        <v>2.666666667</v>
      </c>
      <c r="O84" s="8" t="str">
        <f>IFERROR(__xludf.DUMMYFUNCTION("""COMPUTED_VALUE"""),"")</f>
        <v/>
      </c>
    </row>
    <row r="85" ht="22.5" customHeight="1">
      <c r="A85" s="3">
        <v>45896.525651516204</v>
      </c>
      <c r="B85" s="4">
        <v>45888.0</v>
      </c>
      <c r="C85" s="4">
        <v>45886.0</v>
      </c>
      <c r="D85" s="5" t="s">
        <v>137</v>
      </c>
      <c r="E85" s="5">
        <v>398.0</v>
      </c>
      <c r="F85" s="5">
        <v>42.0</v>
      </c>
      <c r="G85" s="5">
        <v>16.0</v>
      </c>
      <c r="H85" s="5" t="s">
        <v>99</v>
      </c>
      <c r="J85" s="10"/>
      <c r="K85" s="10"/>
      <c r="L85" s="10"/>
      <c r="M85" s="5">
        <v>456.1</v>
      </c>
      <c r="N85" s="7" t="str">
        <f>IFERROR(__xludf.DUMMYFUNCTION("""COMPUTED_VALUE"""),"")</f>
        <v/>
      </c>
      <c r="O85" s="8" t="str">
        <f>IFERROR(__xludf.DUMMYFUNCTION("""COMPUTED_VALUE"""),"")</f>
        <v/>
      </c>
    </row>
    <row r="86" ht="22.5" customHeight="1">
      <c r="A86" s="3">
        <v>45896.525023842594</v>
      </c>
      <c r="B86" s="4">
        <v>45887.0</v>
      </c>
      <c r="C86" s="4">
        <v>45885.0</v>
      </c>
      <c r="D86" s="5" t="s">
        <v>138</v>
      </c>
      <c r="E86" s="5">
        <v>230.0</v>
      </c>
      <c r="F86" s="5">
        <v>30.0</v>
      </c>
      <c r="G86" s="5">
        <v>21.0</v>
      </c>
      <c r="H86" s="5" t="s">
        <v>99</v>
      </c>
      <c r="I86" s="5" t="s">
        <v>139</v>
      </c>
      <c r="J86" s="10"/>
      <c r="K86" s="10"/>
      <c r="L86" s="10"/>
      <c r="M86" s="5">
        <v>281.1</v>
      </c>
      <c r="N86" s="7">
        <f>IFERROR(__xludf.DUMMYFUNCTION("""COMPUTED_VALUE"""),15.166666666666666)</f>
        <v>15.16666667</v>
      </c>
      <c r="O86" s="8" t="str">
        <f>IFERROR(__xludf.DUMMYFUNCTION("""COMPUTED_VALUE"""),"")</f>
        <v/>
      </c>
    </row>
    <row r="87" ht="22.5" customHeight="1">
      <c r="A87" s="3">
        <v>45896.52422171296</v>
      </c>
      <c r="B87" s="4">
        <v>45887.0</v>
      </c>
      <c r="C87" s="4">
        <v>45885.0</v>
      </c>
      <c r="D87" s="5" t="s">
        <v>140</v>
      </c>
      <c r="E87" s="5">
        <v>185.0</v>
      </c>
      <c r="F87" s="5">
        <v>42.0</v>
      </c>
      <c r="G87" s="5">
        <v>7.0</v>
      </c>
      <c r="H87" s="5" t="s">
        <v>141</v>
      </c>
      <c r="J87" s="10"/>
      <c r="K87" s="10"/>
      <c r="L87" s="10"/>
      <c r="M87" s="5">
        <v>234.2</v>
      </c>
      <c r="N87" s="7" t="str">
        <f>IFERROR(__xludf.DUMMYFUNCTION("""COMPUTED_VALUE"""),"")</f>
        <v/>
      </c>
      <c r="O87" s="8" t="str">
        <f>IFERROR(__xludf.DUMMYFUNCTION("""COMPUTED_VALUE"""),"")</f>
        <v/>
      </c>
    </row>
    <row r="88" ht="22.5" customHeight="1">
      <c r="A88" s="3">
        <v>45896.52309969907</v>
      </c>
      <c r="B88" s="4">
        <v>45887.0</v>
      </c>
      <c r="C88" s="4">
        <v>45885.0</v>
      </c>
      <c r="D88" s="5" t="s">
        <v>142</v>
      </c>
      <c r="E88" s="5">
        <v>202.0</v>
      </c>
      <c r="F88" s="5">
        <v>15.0</v>
      </c>
      <c r="G88" s="5">
        <v>13.0</v>
      </c>
      <c r="J88" s="10"/>
      <c r="K88" s="10"/>
      <c r="L88" s="10"/>
      <c r="M88" s="5">
        <v>230.0</v>
      </c>
      <c r="N88" s="7" t="str">
        <f>IFERROR(__xludf.DUMMYFUNCTION("""COMPUTED_VALUE"""),"")</f>
        <v/>
      </c>
      <c r="O88" s="8" t="str">
        <f>IFERROR(__xludf.DUMMYFUNCTION("""COMPUTED_VALUE"""),"")</f>
        <v/>
      </c>
    </row>
    <row r="89" ht="22.5" customHeight="1">
      <c r="A89" s="3">
        <v>45896.522463622685</v>
      </c>
      <c r="B89" s="4">
        <v>45885.0</v>
      </c>
      <c r="C89" s="4">
        <v>45884.0</v>
      </c>
      <c r="D89" s="5" t="s">
        <v>143</v>
      </c>
      <c r="E89" s="5">
        <v>166.0</v>
      </c>
      <c r="F89" s="5">
        <v>44.0</v>
      </c>
      <c r="G89" s="5">
        <v>13.0</v>
      </c>
      <c r="I89" s="5" t="s">
        <v>144</v>
      </c>
      <c r="J89" s="10"/>
      <c r="K89" s="10"/>
      <c r="L89" s="10"/>
      <c r="M89" s="5">
        <v>223.0</v>
      </c>
      <c r="N89" s="7">
        <f>IFERROR(__xludf.DUMMYFUNCTION("""COMPUTED_VALUE"""),3.3333333333333335)</f>
        <v>3.333333333</v>
      </c>
      <c r="O89" s="8" t="str">
        <f>IFERROR(__xludf.DUMMYFUNCTION("""COMPUTED_VALUE"""),"")</f>
        <v/>
      </c>
    </row>
    <row r="90" ht="22.5" customHeight="1">
      <c r="A90" s="3">
        <v>45896.521775891204</v>
      </c>
      <c r="B90" s="4">
        <v>45885.0</v>
      </c>
      <c r="C90" s="4">
        <v>45884.0</v>
      </c>
      <c r="D90" s="5" t="s">
        <v>145</v>
      </c>
      <c r="E90" s="5">
        <v>191.0</v>
      </c>
      <c r="F90" s="5">
        <v>60.0</v>
      </c>
      <c r="G90" s="5">
        <v>16.0</v>
      </c>
      <c r="J90" s="10"/>
      <c r="K90" s="10"/>
      <c r="L90" s="10"/>
      <c r="M90" s="5">
        <v>267.0</v>
      </c>
      <c r="N90" s="7" t="str">
        <f>IFERROR(__xludf.DUMMYFUNCTION("""COMPUTED_VALUE"""),"")</f>
        <v/>
      </c>
      <c r="O90" s="8" t="str">
        <f>IFERROR(__xludf.DUMMYFUNCTION("""COMPUTED_VALUE"""),"")</f>
        <v/>
      </c>
    </row>
    <row r="91" ht="22.5" customHeight="1">
      <c r="A91" s="3">
        <v>45896.5212040162</v>
      </c>
      <c r="B91" s="4">
        <v>45885.0</v>
      </c>
      <c r="C91" s="4">
        <v>45884.0</v>
      </c>
      <c r="D91" s="5" t="s">
        <v>146</v>
      </c>
      <c r="E91" s="5">
        <v>195.0</v>
      </c>
      <c r="F91" s="5">
        <v>31.0</v>
      </c>
      <c r="G91" s="5">
        <v>7.0</v>
      </c>
      <c r="J91" s="10"/>
      <c r="K91" s="10"/>
      <c r="L91" s="10"/>
      <c r="M91" s="5">
        <v>233.0</v>
      </c>
      <c r="N91" s="7" t="str">
        <f>IFERROR(__xludf.DUMMYFUNCTION("""COMPUTED_VALUE"""),"")</f>
        <v/>
      </c>
      <c r="O91" s="8" t="str">
        <f>IFERROR(__xludf.DUMMYFUNCTION("""COMPUTED_VALUE"""),"")</f>
        <v/>
      </c>
    </row>
    <row r="92" ht="22.5" customHeight="1">
      <c r="A92" s="3">
        <v>45896.52042054398</v>
      </c>
      <c r="B92" s="4">
        <v>45884.0</v>
      </c>
      <c r="C92" s="4">
        <v>45883.0</v>
      </c>
      <c r="D92" s="5" t="s">
        <v>147</v>
      </c>
      <c r="E92" s="5">
        <v>229.0</v>
      </c>
      <c r="F92" s="5">
        <v>28.0</v>
      </c>
      <c r="G92" s="5">
        <v>16.0</v>
      </c>
      <c r="H92" s="5" t="s">
        <v>61</v>
      </c>
      <c r="I92" s="5" t="s">
        <v>148</v>
      </c>
      <c r="J92" s="10"/>
      <c r="K92" s="10"/>
      <c r="L92" s="10"/>
      <c r="M92" s="5">
        <v>273.3</v>
      </c>
      <c r="N92" s="7">
        <f>IFERROR(__xludf.DUMMYFUNCTION("""COMPUTED_VALUE"""),3.1333333333333333)</f>
        <v>3.133333333</v>
      </c>
      <c r="O92" s="8" t="str">
        <f>IFERROR(__xludf.DUMMYFUNCTION("""COMPUTED_VALUE"""),"")</f>
        <v/>
      </c>
    </row>
    <row r="93" ht="22.5" customHeight="1">
      <c r="A93" s="3">
        <v>45896.51953769676</v>
      </c>
      <c r="B93" s="4">
        <v>45884.0</v>
      </c>
      <c r="C93" s="4">
        <v>45883.0</v>
      </c>
      <c r="D93" s="5" t="s">
        <v>149</v>
      </c>
      <c r="E93" s="5">
        <v>193.0</v>
      </c>
      <c r="F93" s="5">
        <v>23.0</v>
      </c>
      <c r="G93" s="5">
        <v>12.0</v>
      </c>
      <c r="H93" s="5" t="s">
        <v>150</v>
      </c>
      <c r="J93" s="10"/>
      <c r="K93" s="10"/>
      <c r="L93" s="10"/>
      <c r="M93" s="5">
        <v>228.2</v>
      </c>
      <c r="N93" s="7" t="str">
        <f>IFERROR(__xludf.DUMMYFUNCTION("""COMPUTED_VALUE"""),"")</f>
        <v/>
      </c>
      <c r="O93" s="8" t="str">
        <f>IFERROR(__xludf.DUMMYFUNCTION("""COMPUTED_VALUE"""),"")</f>
        <v/>
      </c>
    </row>
    <row r="94" ht="22.5" customHeight="1">
      <c r="A94" s="3">
        <v>45896.518887708335</v>
      </c>
      <c r="B94" s="4">
        <v>45884.0</v>
      </c>
      <c r="C94" s="4">
        <v>45883.0</v>
      </c>
      <c r="D94" s="5" t="s">
        <v>105</v>
      </c>
      <c r="E94" s="5">
        <v>181.0</v>
      </c>
      <c r="F94" s="5">
        <v>45.0</v>
      </c>
      <c r="G94" s="5">
        <v>9.0</v>
      </c>
      <c r="H94" s="5" t="s">
        <v>141</v>
      </c>
      <c r="J94" s="10"/>
      <c r="K94" s="10"/>
      <c r="L94" s="10"/>
      <c r="M94" s="5">
        <v>235.2</v>
      </c>
      <c r="N94" s="7" t="str">
        <f>IFERROR(__xludf.DUMMYFUNCTION("""COMPUTED_VALUE"""),"")</f>
        <v/>
      </c>
      <c r="O94" s="8" t="str">
        <f>IFERROR(__xludf.DUMMYFUNCTION("""COMPUTED_VALUE"""),"")</f>
        <v/>
      </c>
    </row>
    <row r="95" ht="22.5" customHeight="1">
      <c r="A95" s="3">
        <v>45896.51809751157</v>
      </c>
      <c r="B95" s="4">
        <v>45883.0</v>
      </c>
      <c r="C95" s="4">
        <v>45882.0</v>
      </c>
      <c r="D95" s="5" t="s">
        <v>142</v>
      </c>
      <c r="E95" s="5">
        <v>193.0</v>
      </c>
      <c r="F95" s="5">
        <v>23.0</v>
      </c>
      <c r="G95" s="5">
        <v>28.0</v>
      </c>
      <c r="I95" s="5" t="s">
        <v>151</v>
      </c>
      <c r="J95" s="10"/>
      <c r="K95" s="10"/>
      <c r="L95" s="10"/>
      <c r="M95" s="5">
        <v>244.0</v>
      </c>
      <c r="N95" s="7">
        <f>IFERROR(__xludf.DUMMYFUNCTION("""COMPUTED_VALUE"""),4.4)</f>
        <v>4.4</v>
      </c>
      <c r="O95" s="8" t="str">
        <f>IFERROR(__xludf.DUMMYFUNCTION("""COMPUTED_VALUE"""),"")</f>
        <v/>
      </c>
    </row>
    <row r="96" ht="22.5" customHeight="1">
      <c r="A96" s="3">
        <v>45896.51726732639</v>
      </c>
      <c r="B96" s="4">
        <v>45883.0</v>
      </c>
      <c r="C96" s="4">
        <v>45882.0</v>
      </c>
      <c r="D96" s="5" t="s">
        <v>152</v>
      </c>
      <c r="E96" s="5">
        <v>153.0</v>
      </c>
      <c r="F96" s="5">
        <v>69.0</v>
      </c>
      <c r="G96" s="5">
        <v>11.0</v>
      </c>
      <c r="J96" s="10"/>
      <c r="K96" s="10"/>
      <c r="L96" s="10"/>
      <c r="M96" s="5">
        <v>228.0</v>
      </c>
      <c r="N96" s="7" t="str">
        <f>IFERROR(__xludf.DUMMYFUNCTION("""COMPUTED_VALUE"""),"")</f>
        <v/>
      </c>
      <c r="O96" s="8" t="str">
        <f>IFERROR(__xludf.DUMMYFUNCTION("""COMPUTED_VALUE"""),"")</f>
        <v/>
      </c>
    </row>
    <row r="97" ht="22.5" customHeight="1">
      <c r="A97" s="3">
        <v>45896.516758680555</v>
      </c>
      <c r="B97" s="4">
        <v>45883.0</v>
      </c>
      <c r="C97" s="4">
        <v>45882.0</v>
      </c>
      <c r="D97" s="5" t="s">
        <v>153</v>
      </c>
      <c r="E97" s="5">
        <v>205.0</v>
      </c>
      <c r="F97" s="5">
        <v>52.0</v>
      </c>
      <c r="G97" s="5">
        <v>14.0</v>
      </c>
      <c r="J97" s="10"/>
      <c r="K97" s="10"/>
      <c r="L97" s="10"/>
      <c r="M97" s="5">
        <v>271.0</v>
      </c>
      <c r="N97" s="7" t="str">
        <f>IFERROR(__xludf.DUMMYFUNCTION("""COMPUTED_VALUE"""),"")</f>
        <v/>
      </c>
      <c r="O97" s="8" t="str">
        <f>IFERROR(__xludf.DUMMYFUNCTION("""COMPUTED_VALUE"""),"")</f>
        <v/>
      </c>
    </row>
    <row r="98" ht="22.5" customHeight="1">
      <c r="A98" s="3">
        <v>45896.51604582176</v>
      </c>
      <c r="B98" s="4">
        <v>45883.0</v>
      </c>
      <c r="C98" s="4">
        <v>45881.0</v>
      </c>
      <c r="D98" s="5" t="s">
        <v>154</v>
      </c>
      <c r="E98" s="5">
        <v>170.0</v>
      </c>
      <c r="F98" s="5">
        <v>21.0</v>
      </c>
      <c r="G98" s="5">
        <v>7.0</v>
      </c>
      <c r="J98" s="10"/>
      <c r="K98" s="10"/>
      <c r="L98" s="10"/>
      <c r="M98" s="5">
        <v>208.0</v>
      </c>
      <c r="N98" s="7" t="str">
        <f>IFERROR(__xludf.DUMMYFUNCTION("""COMPUTED_VALUE"""),"")</f>
        <v/>
      </c>
      <c r="O98" s="8" t="str">
        <f>IFERROR(__xludf.DUMMYFUNCTION("""COMPUTED_VALUE"""),"")</f>
        <v/>
      </c>
    </row>
    <row r="99" ht="22.5" customHeight="1">
      <c r="A99" s="3">
        <v>45896.51541289352</v>
      </c>
      <c r="B99" s="4">
        <v>45882.0</v>
      </c>
      <c r="C99" s="4">
        <v>45881.0</v>
      </c>
      <c r="D99" s="5" t="s">
        <v>155</v>
      </c>
      <c r="E99" s="5">
        <v>22.0</v>
      </c>
      <c r="F99" s="5">
        <v>3.0</v>
      </c>
      <c r="G99" s="5">
        <v>2.0</v>
      </c>
      <c r="I99" s="5" t="s">
        <v>156</v>
      </c>
      <c r="J99" s="10"/>
      <c r="K99" s="10"/>
      <c r="L99" s="10"/>
      <c r="M99" s="5">
        <v>27.0</v>
      </c>
      <c r="N99" s="7">
        <f>IFERROR(__xludf.DUMMYFUNCTION("""COMPUTED_VALUE"""),3.3666666666666667)</f>
        <v>3.366666667</v>
      </c>
      <c r="O99" s="8" t="str">
        <f>IFERROR(__xludf.DUMMYFUNCTION("""COMPUTED_VALUE"""),"")</f>
        <v/>
      </c>
    </row>
    <row r="100" ht="22.5" customHeight="1">
      <c r="A100" s="3">
        <v>45896.51483424769</v>
      </c>
      <c r="B100" s="4">
        <v>45882.0</v>
      </c>
      <c r="C100" s="4">
        <v>45881.0</v>
      </c>
      <c r="D100" s="5" t="s">
        <v>157</v>
      </c>
      <c r="E100" s="5">
        <v>226.0</v>
      </c>
      <c r="F100" s="5">
        <v>46.0</v>
      </c>
      <c r="G100" s="5">
        <v>6.0</v>
      </c>
      <c r="J100" s="10"/>
      <c r="K100" s="10"/>
      <c r="L100" s="10"/>
      <c r="M100" s="5">
        <v>278.0</v>
      </c>
      <c r="N100" s="7" t="str">
        <f>IFERROR(__xludf.DUMMYFUNCTION("""COMPUTED_VALUE"""),"")</f>
        <v/>
      </c>
      <c r="O100" s="8" t="str">
        <f>IFERROR(__xludf.DUMMYFUNCTION("""COMPUTED_VALUE"""),"")</f>
        <v/>
      </c>
    </row>
    <row r="101" ht="22.5" customHeight="1">
      <c r="A101" s="3">
        <v>45896.513104212965</v>
      </c>
      <c r="B101" s="4">
        <v>45882.0</v>
      </c>
      <c r="C101" s="4">
        <v>45881.0</v>
      </c>
      <c r="D101" s="5" t="s">
        <v>105</v>
      </c>
      <c r="E101" s="5">
        <v>166.0</v>
      </c>
      <c r="F101" s="5">
        <v>43.0</v>
      </c>
      <c r="G101" s="5">
        <v>10.0</v>
      </c>
      <c r="H101" s="5" t="s">
        <v>158</v>
      </c>
      <c r="J101" s="10"/>
      <c r="K101" s="10"/>
      <c r="L101" s="10"/>
      <c r="M101" s="5">
        <v>219.2</v>
      </c>
      <c r="N101" s="7" t="str">
        <f>IFERROR(__xludf.DUMMYFUNCTION("""COMPUTED_VALUE"""),"")</f>
        <v/>
      </c>
      <c r="O101" s="8" t="str">
        <f>IFERROR(__xludf.DUMMYFUNCTION("""COMPUTED_VALUE"""),"")</f>
        <v/>
      </c>
    </row>
    <row r="102" ht="22.5" customHeight="1">
      <c r="A102" s="3">
        <v>45896.512046759264</v>
      </c>
      <c r="B102" s="4">
        <v>45882.0</v>
      </c>
      <c r="C102" s="4">
        <v>45880.0</v>
      </c>
      <c r="D102" s="5" t="s">
        <v>159</v>
      </c>
      <c r="E102" s="5">
        <v>187.0</v>
      </c>
      <c r="F102" s="5">
        <v>66.0</v>
      </c>
      <c r="G102" s="5">
        <v>16.0</v>
      </c>
      <c r="H102" s="5" t="s">
        <v>99</v>
      </c>
      <c r="J102" s="10"/>
      <c r="K102" s="10"/>
      <c r="L102" s="10"/>
      <c r="M102" s="5">
        <v>269.1</v>
      </c>
      <c r="N102" s="7" t="str">
        <f>IFERROR(__xludf.DUMMYFUNCTION("""COMPUTED_VALUE"""),"")</f>
        <v/>
      </c>
      <c r="O102" s="8" t="str">
        <f>IFERROR(__xludf.DUMMYFUNCTION("""COMPUTED_VALUE"""),"")</f>
        <v/>
      </c>
    </row>
    <row r="103" ht="22.5" customHeight="1">
      <c r="A103" s="3">
        <v>45896.511372696754</v>
      </c>
      <c r="B103" s="4">
        <v>45882.0</v>
      </c>
      <c r="C103" s="4">
        <v>45880.0</v>
      </c>
      <c r="D103" s="5" t="s">
        <v>160</v>
      </c>
      <c r="E103" s="5">
        <v>115.0</v>
      </c>
      <c r="F103" s="5">
        <v>21.0</v>
      </c>
      <c r="G103" s="5">
        <v>9.0</v>
      </c>
      <c r="J103" s="10"/>
      <c r="K103" s="10"/>
      <c r="L103" s="10"/>
      <c r="M103" s="5">
        <v>145.0</v>
      </c>
      <c r="N103" s="7" t="str">
        <f>IFERROR(__xludf.DUMMYFUNCTION("""COMPUTED_VALUE"""),"")</f>
        <v/>
      </c>
      <c r="O103" s="8" t="str">
        <f>IFERROR(__xludf.DUMMYFUNCTION("""COMPUTED_VALUE"""),"")</f>
        <v/>
      </c>
    </row>
    <row r="104" ht="22.5" customHeight="1">
      <c r="A104" s="3">
        <v>45881.820553680554</v>
      </c>
      <c r="B104" s="4">
        <v>45881.0</v>
      </c>
      <c r="C104" s="4">
        <v>45880.0</v>
      </c>
      <c r="D104" s="5" t="s">
        <v>161</v>
      </c>
      <c r="E104" s="5">
        <v>75.0</v>
      </c>
      <c r="F104" s="5">
        <v>6.0</v>
      </c>
      <c r="G104" s="5">
        <v>6.0</v>
      </c>
      <c r="I104" s="5" t="s">
        <v>162</v>
      </c>
      <c r="J104" s="10"/>
      <c r="K104" s="10"/>
      <c r="L104" s="10"/>
      <c r="M104" s="5">
        <v>87.0</v>
      </c>
      <c r="N104" s="7">
        <f>IFERROR(__xludf.DUMMYFUNCTION("""COMPUTED_VALUE"""),7.8)</f>
        <v>7.8</v>
      </c>
      <c r="O104" s="8" t="str">
        <f>IFERROR(__xludf.DUMMYFUNCTION("""COMPUTED_VALUE"""),"")</f>
        <v/>
      </c>
    </row>
    <row r="105" ht="22.5" customHeight="1">
      <c r="A105" s="3">
        <v>45881.820006145834</v>
      </c>
      <c r="B105" s="4">
        <v>45881.0</v>
      </c>
      <c r="C105" s="4">
        <v>45880.0</v>
      </c>
      <c r="D105" s="5" t="s">
        <v>163</v>
      </c>
      <c r="E105" s="5">
        <v>193.0</v>
      </c>
      <c r="F105" s="5">
        <v>38.0</v>
      </c>
      <c r="G105" s="5">
        <v>9.0</v>
      </c>
      <c r="H105" s="5" t="s">
        <v>99</v>
      </c>
      <c r="J105" s="10"/>
      <c r="K105" s="10"/>
      <c r="L105" s="10"/>
      <c r="M105" s="5">
        <v>242.1</v>
      </c>
      <c r="N105" s="7" t="str">
        <f>IFERROR(__xludf.DUMMYFUNCTION("""COMPUTED_VALUE"""),"")</f>
        <v/>
      </c>
      <c r="O105" s="8" t="str">
        <f>IFERROR(__xludf.DUMMYFUNCTION("""COMPUTED_VALUE"""),"")</f>
        <v/>
      </c>
    </row>
    <row r="106" ht="22.5" customHeight="1">
      <c r="A106" s="3">
        <v>45881.81943120371</v>
      </c>
      <c r="B106" s="4">
        <v>45881.0</v>
      </c>
      <c r="C106" s="4">
        <v>45879.0</v>
      </c>
      <c r="D106" s="5" t="s">
        <v>164</v>
      </c>
      <c r="E106" s="5">
        <v>173.0</v>
      </c>
      <c r="F106" s="5">
        <v>64.0</v>
      </c>
      <c r="G106" s="5">
        <v>13.0</v>
      </c>
      <c r="H106" s="5" t="s">
        <v>61</v>
      </c>
      <c r="J106" s="10"/>
      <c r="K106" s="10"/>
      <c r="L106" s="10"/>
      <c r="M106" s="5">
        <v>250.3</v>
      </c>
      <c r="N106" s="7" t="str">
        <f>IFERROR(__xludf.DUMMYFUNCTION("""COMPUTED_VALUE"""),"")</f>
        <v/>
      </c>
      <c r="O106" s="8" t="str">
        <f>IFERROR(__xludf.DUMMYFUNCTION("""COMPUTED_VALUE"""),"")</f>
        <v/>
      </c>
    </row>
    <row r="107" ht="22.5" customHeight="1">
      <c r="A107" s="3">
        <v>45881.818779016205</v>
      </c>
      <c r="B107" s="4">
        <v>45881.0</v>
      </c>
      <c r="C107" s="4">
        <v>45879.0</v>
      </c>
      <c r="D107" s="5" t="s">
        <v>165</v>
      </c>
      <c r="E107" s="5">
        <v>335.0</v>
      </c>
      <c r="F107" s="5">
        <v>76.0</v>
      </c>
      <c r="G107" s="5">
        <v>25.0</v>
      </c>
      <c r="H107" s="5" t="s">
        <v>99</v>
      </c>
      <c r="J107" s="10"/>
      <c r="K107" s="10"/>
      <c r="L107" s="10"/>
      <c r="M107" s="5">
        <v>436.1</v>
      </c>
      <c r="N107" s="7" t="str">
        <f>IFERROR(__xludf.DUMMYFUNCTION("""COMPUTED_VALUE"""),"")</f>
        <v/>
      </c>
      <c r="O107" s="8" t="str">
        <f>IFERROR(__xludf.DUMMYFUNCTION("""COMPUTED_VALUE"""),"")</f>
        <v/>
      </c>
    </row>
    <row r="108" ht="22.5" customHeight="1">
      <c r="A108" s="3">
        <v>45881.818060578706</v>
      </c>
      <c r="B108" s="4">
        <v>45880.0</v>
      </c>
      <c r="C108" s="4">
        <v>45878.0</v>
      </c>
      <c r="D108" s="5" t="s">
        <v>71</v>
      </c>
      <c r="E108" s="5">
        <v>233.0</v>
      </c>
      <c r="F108" s="5">
        <v>69.0</v>
      </c>
      <c r="G108" s="5">
        <v>16.0</v>
      </c>
      <c r="H108" s="5" t="s">
        <v>99</v>
      </c>
      <c r="I108" s="5" t="s">
        <v>166</v>
      </c>
      <c r="J108" s="10"/>
      <c r="K108" s="10"/>
      <c r="L108" s="10"/>
      <c r="M108" s="5">
        <v>318.1</v>
      </c>
      <c r="N108" s="7">
        <f>IFERROR(__xludf.DUMMYFUNCTION("""COMPUTED_VALUE"""),3.9)</f>
        <v>3.9</v>
      </c>
      <c r="O108" s="8" t="str">
        <f>IFERROR(__xludf.DUMMYFUNCTION("""COMPUTED_VALUE"""),"")</f>
        <v/>
      </c>
    </row>
    <row r="109" ht="22.5" customHeight="1">
      <c r="A109" s="3">
        <v>45881.817431944444</v>
      </c>
      <c r="B109" s="4">
        <v>45880.0</v>
      </c>
      <c r="C109" s="4">
        <v>45878.0</v>
      </c>
      <c r="D109" s="5" t="s">
        <v>167</v>
      </c>
      <c r="E109" s="5">
        <v>369.0</v>
      </c>
      <c r="F109" s="5">
        <v>78.0</v>
      </c>
      <c r="G109" s="5">
        <v>17.0</v>
      </c>
      <c r="H109" s="5" t="s">
        <v>141</v>
      </c>
      <c r="J109" s="10"/>
      <c r="K109" s="10"/>
      <c r="L109" s="10"/>
      <c r="M109" s="5">
        <v>464.2</v>
      </c>
      <c r="N109" s="7" t="str">
        <f>IFERROR(__xludf.DUMMYFUNCTION("""COMPUTED_VALUE"""),"")</f>
        <v/>
      </c>
      <c r="O109" s="8" t="str">
        <f>IFERROR(__xludf.DUMMYFUNCTION("""COMPUTED_VALUE"""),"")</f>
        <v/>
      </c>
    </row>
    <row r="110" ht="22.5" customHeight="1">
      <c r="A110" s="3">
        <v>45881.81666070602</v>
      </c>
      <c r="B110" s="4">
        <v>45880.0</v>
      </c>
      <c r="C110" s="4">
        <v>45877.0</v>
      </c>
      <c r="D110" s="5" t="s">
        <v>107</v>
      </c>
      <c r="E110" s="5">
        <v>104.0</v>
      </c>
      <c r="F110" s="5">
        <v>5.0</v>
      </c>
      <c r="G110" s="5">
        <v>4.0</v>
      </c>
      <c r="J110" s="10"/>
      <c r="K110" s="10"/>
      <c r="L110" s="10"/>
      <c r="M110" s="5">
        <v>113.0</v>
      </c>
      <c r="N110" s="7" t="str">
        <f>IFERROR(__xludf.DUMMYFUNCTION("""COMPUTED_VALUE"""),"")</f>
        <v/>
      </c>
      <c r="O110" s="8" t="str">
        <f>IFERROR(__xludf.DUMMYFUNCTION("""COMPUTED_VALUE"""),"")</f>
        <v/>
      </c>
    </row>
    <row r="111" ht="22.5" customHeight="1">
      <c r="A111" s="3">
        <v>45881.81600818287</v>
      </c>
      <c r="B111" s="4">
        <v>45878.0</v>
      </c>
      <c r="C111" s="4">
        <v>45877.0</v>
      </c>
      <c r="D111" s="5" t="s">
        <v>168</v>
      </c>
      <c r="E111" s="5">
        <v>98.0</v>
      </c>
      <c r="F111" s="5">
        <v>7.0</v>
      </c>
      <c r="G111" s="5">
        <v>9.0</v>
      </c>
      <c r="H111" s="5" t="s">
        <v>99</v>
      </c>
      <c r="I111" s="5" t="s">
        <v>148</v>
      </c>
      <c r="J111" s="10"/>
      <c r="K111" s="10"/>
      <c r="L111" s="10"/>
      <c r="M111" s="5">
        <v>114.1</v>
      </c>
      <c r="N111" s="7">
        <f>IFERROR(__xludf.DUMMYFUNCTION("""COMPUTED_VALUE"""),3.1333333333333333)</f>
        <v>3.133333333</v>
      </c>
      <c r="O111" s="8" t="str">
        <f>IFERROR(__xludf.DUMMYFUNCTION("""COMPUTED_VALUE"""),"")</f>
        <v/>
      </c>
    </row>
    <row r="112" ht="22.5" customHeight="1">
      <c r="A112" s="3">
        <v>45881.81532546296</v>
      </c>
      <c r="B112" s="4">
        <v>45878.0</v>
      </c>
      <c r="C112" s="4">
        <v>45877.0</v>
      </c>
      <c r="D112" s="5" t="s">
        <v>169</v>
      </c>
      <c r="E112" s="5">
        <v>214.0</v>
      </c>
      <c r="F112" s="5">
        <v>17.0</v>
      </c>
      <c r="G112" s="5">
        <v>11.0</v>
      </c>
      <c r="H112" s="5" t="s">
        <v>69</v>
      </c>
      <c r="J112" s="10"/>
      <c r="K112" s="10"/>
      <c r="L112" s="10"/>
      <c r="M112" s="5">
        <v>249.3</v>
      </c>
      <c r="N112" s="7" t="str">
        <f>IFERROR(__xludf.DUMMYFUNCTION("""COMPUTED_VALUE"""),"")</f>
        <v/>
      </c>
      <c r="O112" s="8" t="str">
        <f>IFERROR(__xludf.DUMMYFUNCTION("""COMPUTED_VALUE"""),"")</f>
        <v/>
      </c>
    </row>
    <row r="113" ht="22.5" customHeight="1">
      <c r="A113" s="3">
        <v>45881.814804814814</v>
      </c>
      <c r="B113" s="4">
        <v>45878.0</v>
      </c>
      <c r="C113" s="4">
        <v>45877.0</v>
      </c>
      <c r="D113" s="5" t="s">
        <v>170</v>
      </c>
      <c r="E113" s="5">
        <v>193.0</v>
      </c>
      <c r="F113" s="5">
        <v>9.0</v>
      </c>
      <c r="G113" s="5">
        <v>7.0</v>
      </c>
      <c r="H113" s="5" t="s">
        <v>99</v>
      </c>
      <c r="J113" s="10"/>
      <c r="K113" s="10"/>
      <c r="L113" s="10"/>
      <c r="M113" s="5">
        <v>209.1</v>
      </c>
      <c r="N113" s="7" t="str">
        <f>IFERROR(__xludf.DUMMYFUNCTION("""COMPUTED_VALUE"""),"")</f>
        <v/>
      </c>
      <c r="O113" s="8" t="str">
        <f>IFERROR(__xludf.DUMMYFUNCTION("""COMPUTED_VALUE"""),"")</f>
        <v/>
      </c>
    </row>
    <row r="114" ht="22.5" customHeight="1">
      <c r="A114" s="3">
        <v>45881.81410112268</v>
      </c>
      <c r="B114" s="4">
        <v>45877.0</v>
      </c>
      <c r="C114" s="4">
        <v>45876.0</v>
      </c>
      <c r="D114" s="5" t="s">
        <v>171</v>
      </c>
      <c r="E114" s="5">
        <v>221.0</v>
      </c>
      <c r="F114" s="5">
        <v>18.0</v>
      </c>
      <c r="G114" s="5">
        <v>10.0</v>
      </c>
      <c r="H114" s="5" t="s">
        <v>141</v>
      </c>
      <c r="I114" s="5" t="s">
        <v>70</v>
      </c>
      <c r="J114" s="10"/>
      <c r="K114" s="10"/>
      <c r="L114" s="10"/>
      <c r="M114" s="5">
        <v>249.2</v>
      </c>
      <c r="N114" s="7">
        <f>IFERROR(__xludf.DUMMYFUNCTION("""COMPUTED_VALUE"""),3.6666666666666665)</f>
        <v>3.666666667</v>
      </c>
      <c r="O114" s="8" t="str">
        <f>IFERROR(__xludf.DUMMYFUNCTION("""COMPUTED_VALUE"""),"")</f>
        <v/>
      </c>
    </row>
    <row r="115" ht="22.5" customHeight="1">
      <c r="A115" s="3">
        <v>45881.81352571759</v>
      </c>
      <c r="B115" s="4">
        <v>45877.0</v>
      </c>
      <c r="C115" s="4">
        <v>45876.0</v>
      </c>
      <c r="D115" s="5" t="s">
        <v>172</v>
      </c>
      <c r="E115" s="5">
        <v>152.0</v>
      </c>
      <c r="F115" s="5">
        <v>61.0</v>
      </c>
      <c r="G115" s="5">
        <v>15.0</v>
      </c>
      <c r="J115" s="10"/>
      <c r="K115" s="10"/>
      <c r="L115" s="10"/>
      <c r="M115" s="5">
        <v>228.0</v>
      </c>
      <c r="N115" s="7" t="str">
        <f>IFERROR(__xludf.DUMMYFUNCTION("""COMPUTED_VALUE"""),"")</f>
        <v/>
      </c>
      <c r="O115" s="8" t="str">
        <f>IFERROR(__xludf.DUMMYFUNCTION("""COMPUTED_VALUE"""),"")</f>
        <v/>
      </c>
    </row>
    <row r="116" ht="22.5" customHeight="1">
      <c r="A116" s="3">
        <v>45881.81301200231</v>
      </c>
      <c r="B116" s="4">
        <v>45877.0</v>
      </c>
      <c r="C116" s="4">
        <v>45876.0</v>
      </c>
      <c r="D116" s="5" t="s">
        <v>65</v>
      </c>
      <c r="E116" s="5">
        <v>226.0</v>
      </c>
      <c r="F116" s="5">
        <v>22.0</v>
      </c>
      <c r="G116" s="5">
        <v>9.0</v>
      </c>
      <c r="H116" s="5" t="s">
        <v>96</v>
      </c>
      <c r="J116" s="10"/>
      <c r="K116" s="10"/>
      <c r="L116" s="10"/>
      <c r="M116" s="5">
        <v>257.0</v>
      </c>
      <c r="N116" s="7" t="str">
        <f>IFERROR(__xludf.DUMMYFUNCTION("""COMPUTED_VALUE"""),"")</f>
        <v/>
      </c>
      <c r="O116" s="8" t="str">
        <f>IFERROR(__xludf.DUMMYFUNCTION("""COMPUTED_VALUE"""),"")</f>
        <v/>
      </c>
    </row>
    <row r="117" ht="22.5" customHeight="1">
      <c r="A117" s="3">
        <v>45881.81248050926</v>
      </c>
      <c r="B117" s="4">
        <v>45877.0</v>
      </c>
      <c r="C117" s="4">
        <v>45875.0</v>
      </c>
      <c r="D117" s="5" t="s">
        <v>173</v>
      </c>
      <c r="E117" s="5">
        <v>108.0</v>
      </c>
      <c r="F117" s="5">
        <v>22.0</v>
      </c>
      <c r="G117" s="5">
        <v>5.0</v>
      </c>
      <c r="H117" s="5" t="s">
        <v>141</v>
      </c>
      <c r="J117" s="10"/>
      <c r="K117" s="10"/>
      <c r="L117" s="10"/>
      <c r="M117" s="5">
        <v>135.2</v>
      </c>
      <c r="N117" s="7" t="str">
        <f>IFERROR(__xludf.DUMMYFUNCTION("""COMPUTED_VALUE"""),"")</f>
        <v/>
      </c>
      <c r="O117" s="8" t="str">
        <f>IFERROR(__xludf.DUMMYFUNCTION("""COMPUTED_VALUE"""),"")</f>
        <v/>
      </c>
    </row>
    <row r="118" ht="22.5" customHeight="1">
      <c r="A118" s="3">
        <v>45880.71171903935</v>
      </c>
      <c r="B118" s="4">
        <v>45876.0</v>
      </c>
      <c r="C118" s="4">
        <v>45875.0</v>
      </c>
      <c r="D118" s="5" t="s">
        <v>174</v>
      </c>
      <c r="E118" s="5">
        <v>53.0</v>
      </c>
      <c r="F118" s="5">
        <v>31.0</v>
      </c>
      <c r="G118" s="5">
        <v>5.0</v>
      </c>
      <c r="I118" s="5" t="s">
        <v>175</v>
      </c>
      <c r="J118" s="10"/>
      <c r="K118" s="10"/>
      <c r="L118" s="10"/>
      <c r="M118" s="5">
        <v>89.0</v>
      </c>
      <c r="N118" s="7">
        <f>IFERROR(__xludf.DUMMYFUNCTION("""COMPUTED_VALUE"""),4.1)</f>
        <v>4.1</v>
      </c>
      <c r="O118" s="8" t="str">
        <f>IFERROR(__xludf.DUMMYFUNCTION("""COMPUTED_VALUE"""),"")</f>
        <v/>
      </c>
    </row>
    <row r="119" ht="22.5" customHeight="1">
      <c r="A119" s="3">
        <v>45880.71071135417</v>
      </c>
      <c r="B119" s="4">
        <v>45876.0</v>
      </c>
      <c r="C119" s="4">
        <v>45875.0</v>
      </c>
      <c r="D119" s="5" t="s">
        <v>176</v>
      </c>
      <c r="E119" s="5">
        <v>169.0</v>
      </c>
      <c r="F119" s="5">
        <v>54.0</v>
      </c>
      <c r="G119" s="5">
        <v>14.0</v>
      </c>
      <c r="J119" s="10"/>
      <c r="K119" s="10"/>
      <c r="L119" s="10"/>
      <c r="M119" s="5">
        <v>237.0</v>
      </c>
      <c r="N119" s="7" t="str">
        <f>IFERROR(__xludf.DUMMYFUNCTION("""COMPUTED_VALUE"""),"")</f>
        <v/>
      </c>
      <c r="O119" s="8" t="str">
        <f>IFERROR(__xludf.DUMMYFUNCTION("""COMPUTED_VALUE"""),"")</f>
        <v/>
      </c>
    </row>
    <row r="120" ht="22.5" customHeight="1">
      <c r="A120" s="3">
        <v>45880.710068113425</v>
      </c>
      <c r="B120" s="4">
        <v>45876.0</v>
      </c>
      <c r="C120" s="4">
        <v>45875.0</v>
      </c>
      <c r="D120" s="5" t="s">
        <v>177</v>
      </c>
      <c r="E120" s="5">
        <v>193.0</v>
      </c>
      <c r="F120" s="5">
        <v>56.0</v>
      </c>
      <c r="G120" s="5">
        <v>17.0</v>
      </c>
      <c r="H120" s="5" t="s">
        <v>99</v>
      </c>
      <c r="J120" s="10"/>
      <c r="K120" s="10"/>
      <c r="L120" s="10"/>
      <c r="M120" s="5">
        <v>266.1</v>
      </c>
      <c r="N120" s="7" t="str">
        <f>IFERROR(__xludf.DUMMYFUNCTION("""COMPUTED_VALUE"""),"")</f>
        <v/>
      </c>
      <c r="O120" s="8" t="str">
        <f>IFERROR(__xludf.DUMMYFUNCTION("""COMPUTED_VALUE"""),"")</f>
        <v/>
      </c>
    </row>
    <row r="121" ht="22.5" customHeight="1">
      <c r="A121" s="3">
        <v>45880.7094269213</v>
      </c>
      <c r="B121" s="4">
        <v>45876.0</v>
      </c>
      <c r="C121" s="4">
        <v>45874.0</v>
      </c>
      <c r="D121" s="5" t="s">
        <v>178</v>
      </c>
      <c r="E121" s="5">
        <v>186.0</v>
      </c>
      <c r="F121" s="5">
        <v>45.0</v>
      </c>
      <c r="G121" s="5">
        <v>20.0</v>
      </c>
      <c r="H121" s="5" t="s">
        <v>61</v>
      </c>
      <c r="J121" s="10"/>
      <c r="K121" s="10"/>
      <c r="L121" s="10"/>
      <c r="M121" s="5">
        <v>251.3</v>
      </c>
      <c r="N121" s="7" t="str">
        <f>IFERROR(__xludf.DUMMYFUNCTION("""COMPUTED_VALUE"""),"")</f>
        <v/>
      </c>
      <c r="O121" s="8" t="str">
        <f>IFERROR(__xludf.DUMMYFUNCTION("""COMPUTED_VALUE"""),"")</f>
        <v/>
      </c>
    </row>
    <row r="122" ht="22.5" customHeight="1">
      <c r="A122" s="3">
        <v>45880.708577557874</v>
      </c>
      <c r="B122" s="4">
        <v>45876.0</v>
      </c>
      <c r="C122" s="4">
        <v>45874.0</v>
      </c>
      <c r="D122" s="5" t="s">
        <v>179</v>
      </c>
      <c r="E122" s="5">
        <v>207.0</v>
      </c>
      <c r="F122" s="5">
        <v>36.0</v>
      </c>
      <c r="G122" s="5">
        <v>16.0</v>
      </c>
      <c r="J122" s="10"/>
      <c r="K122" s="10"/>
      <c r="L122" s="10"/>
      <c r="M122" s="5">
        <v>259.0</v>
      </c>
      <c r="N122" s="7" t="str">
        <f>IFERROR(__xludf.DUMMYFUNCTION("""COMPUTED_VALUE"""),"")</f>
        <v/>
      </c>
      <c r="O122" s="8" t="str">
        <f>IFERROR(__xludf.DUMMYFUNCTION("""COMPUTED_VALUE"""),"")</f>
        <v/>
      </c>
    </row>
    <row r="123" ht="22.5" customHeight="1">
      <c r="A123" s="3">
        <v>45880.70777300926</v>
      </c>
      <c r="B123" s="4">
        <v>45876.0</v>
      </c>
      <c r="C123" s="4">
        <v>45874.0</v>
      </c>
      <c r="D123" s="5" t="s">
        <v>180</v>
      </c>
      <c r="E123" s="5">
        <v>115.0</v>
      </c>
      <c r="F123" s="5">
        <v>3.0</v>
      </c>
      <c r="G123" s="5">
        <v>5.0</v>
      </c>
      <c r="J123" s="10"/>
      <c r="K123" s="10"/>
      <c r="L123" s="10"/>
      <c r="M123" s="5" t="s">
        <v>175</v>
      </c>
      <c r="N123" s="7" t="str">
        <f>IFERROR(__xludf.DUMMYFUNCTION("""COMPUTED_VALUE"""),"")</f>
        <v/>
      </c>
      <c r="O123" s="8" t="str">
        <f>IFERROR(__xludf.DUMMYFUNCTION("""COMPUTED_VALUE"""),"")</f>
        <v/>
      </c>
    </row>
    <row r="124" ht="22.5" customHeight="1">
      <c r="A124" s="3">
        <v>45875.69426650463</v>
      </c>
      <c r="B124" s="4">
        <v>45875.0</v>
      </c>
      <c r="C124" s="4">
        <v>45874.0</v>
      </c>
      <c r="D124" s="5" t="s">
        <v>181</v>
      </c>
      <c r="E124" s="5">
        <v>100.0</v>
      </c>
      <c r="F124" s="5">
        <v>14.0</v>
      </c>
      <c r="G124" s="5">
        <v>10.0</v>
      </c>
      <c r="I124" s="5" t="s">
        <v>182</v>
      </c>
      <c r="J124" s="10"/>
      <c r="K124" s="10"/>
      <c r="L124" s="10"/>
      <c r="M124" s="5">
        <v>124.0</v>
      </c>
      <c r="N124" s="7">
        <f>IFERROR(__xludf.DUMMYFUNCTION("""COMPUTED_VALUE"""),4.0)</f>
        <v>4</v>
      </c>
      <c r="O124" s="8" t="str">
        <f>IFERROR(__xludf.DUMMYFUNCTION("""COMPUTED_VALUE"""),"")</f>
        <v/>
      </c>
    </row>
    <row r="125" ht="22.5" customHeight="1">
      <c r="A125" s="3">
        <v>45875.69225949074</v>
      </c>
      <c r="B125" s="4">
        <v>45875.0</v>
      </c>
      <c r="C125" s="4">
        <v>45873.0</v>
      </c>
      <c r="D125" s="5" t="s">
        <v>183</v>
      </c>
      <c r="E125" s="5">
        <v>251.0</v>
      </c>
      <c r="F125" s="5">
        <v>18.0</v>
      </c>
      <c r="G125" s="5">
        <v>24.0</v>
      </c>
      <c r="J125" s="10"/>
      <c r="K125" s="10"/>
      <c r="L125" s="10"/>
      <c r="M125" s="5">
        <v>272.0</v>
      </c>
      <c r="N125" s="7" t="str">
        <f>IFERROR(__xludf.DUMMYFUNCTION("""COMPUTED_VALUE"""),"")</f>
        <v/>
      </c>
      <c r="O125" s="8" t="str">
        <f>IFERROR(__xludf.DUMMYFUNCTION("""COMPUTED_VALUE"""),"")</f>
        <v/>
      </c>
    </row>
    <row r="126" ht="22.5" customHeight="1">
      <c r="A126" s="3">
        <v>45875.69174930555</v>
      </c>
      <c r="B126" s="4">
        <v>45875.0</v>
      </c>
      <c r="C126" s="4">
        <v>45873.0</v>
      </c>
      <c r="D126" s="5" t="s">
        <v>184</v>
      </c>
      <c r="E126" s="5">
        <v>188.0</v>
      </c>
      <c r="F126" s="5">
        <v>7.0</v>
      </c>
      <c r="G126" s="5">
        <v>9.0</v>
      </c>
      <c r="J126" s="10"/>
      <c r="K126" s="10"/>
      <c r="L126" s="10"/>
      <c r="M126" s="5">
        <v>210.0</v>
      </c>
      <c r="N126" s="7" t="str">
        <f>IFERROR(__xludf.DUMMYFUNCTION("""COMPUTED_VALUE"""),"")</f>
        <v/>
      </c>
      <c r="O126" s="8" t="str">
        <f>IFERROR(__xludf.DUMMYFUNCTION("""COMPUTED_VALUE"""),"")</f>
        <v/>
      </c>
    </row>
    <row r="127" ht="22.5" customHeight="1">
      <c r="A127" s="3">
        <v>45875.69129033565</v>
      </c>
      <c r="B127" s="4">
        <v>45875.0</v>
      </c>
      <c r="C127" s="4">
        <v>45873.0</v>
      </c>
      <c r="D127" s="5" t="s">
        <v>185</v>
      </c>
      <c r="E127" s="5">
        <v>227.0</v>
      </c>
      <c r="F127" s="5">
        <v>11.0</v>
      </c>
      <c r="G127" s="5">
        <v>11.0</v>
      </c>
      <c r="J127" s="10"/>
      <c r="K127" s="10"/>
      <c r="L127" s="10"/>
      <c r="M127" s="5">
        <v>249.0</v>
      </c>
      <c r="N127" s="7" t="str">
        <f>IFERROR(__xludf.DUMMYFUNCTION("""COMPUTED_VALUE"""),"")</f>
        <v/>
      </c>
      <c r="O127" s="8" t="str">
        <f>IFERROR(__xludf.DUMMYFUNCTION("""COMPUTED_VALUE"""),"")</f>
        <v/>
      </c>
    </row>
    <row r="128" ht="22.5" customHeight="1">
      <c r="A128" s="3">
        <v>45875.69079918982</v>
      </c>
      <c r="B128" s="4">
        <v>45875.0</v>
      </c>
      <c r="C128" s="4">
        <v>45872.0</v>
      </c>
      <c r="D128" s="5" t="s">
        <v>186</v>
      </c>
      <c r="E128" s="5">
        <v>105.0</v>
      </c>
      <c r="F128" s="5">
        <v>14.0</v>
      </c>
      <c r="G128" s="5">
        <v>8.0</v>
      </c>
      <c r="J128" s="10"/>
      <c r="K128" s="10"/>
      <c r="L128" s="10"/>
      <c r="M128" s="5">
        <v>127.0</v>
      </c>
      <c r="N128" s="7" t="str">
        <f>IFERROR(__xludf.DUMMYFUNCTION("""COMPUTED_VALUE"""),"")</f>
        <v/>
      </c>
      <c r="O128" s="8" t="str">
        <f>IFERROR(__xludf.DUMMYFUNCTION("""COMPUTED_VALUE"""),"")</f>
        <v/>
      </c>
    </row>
    <row r="129" ht="22.5" customHeight="1">
      <c r="A129" s="3">
        <v>45874.688732870374</v>
      </c>
      <c r="B129" s="4">
        <v>45874.0</v>
      </c>
      <c r="C129" s="4">
        <v>45872.0</v>
      </c>
      <c r="D129" s="5" t="s">
        <v>187</v>
      </c>
      <c r="E129" s="5">
        <v>102.0</v>
      </c>
      <c r="F129" s="5">
        <v>32.0</v>
      </c>
      <c r="G129" s="5">
        <v>8.0</v>
      </c>
      <c r="I129" s="5" t="s">
        <v>188</v>
      </c>
      <c r="J129" s="10"/>
      <c r="K129" s="10"/>
      <c r="L129" s="10"/>
      <c r="M129" s="5">
        <v>142.0</v>
      </c>
      <c r="N129" s="7">
        <f>IFERROR(__xludf.DUMMYFUNCTION("""COMPUTED_VALUE"""),2.7333333333333334)</f>
        <v>2.733333333</v>
      </c>
      <c r="O129" s="8" t="str">
        <f>IFERROR(__xludf.DUMMYFUNCTION("""COMPUTED_VALUE"""),"")</f>
        <v/>
      </c>
    </row>
    <row r="130" ht="22.5" customHeight="1">
      <c r="A130" s="3">
        <v>45874.688045312505</v>
      </c>
      <c r="B130" s="4">
        <v>45874.0</v>
      </c>
      <c r="C130" s="4">
        <v>45871.0</v>
      </c>
      <c r="D130" s="5" t="s">
        <v>189</v>
      </c>
      <c r="E130" s="5">
        <v>405.0</v>
      </c>
      <c r="F130" s="5">
        <v>62.0</v>
      </c>
      <c r="G130" s="5">
        <v>36.0</v>
      </c>
      <c r="J130" s="10"/>
      <c r="K130" s="10"/>
      <c r="L130" s="10"/>
      <c r="M130" s="5">
        <v>503.0</v>
      </c>
      <c r="N130" s="7" t="str">
        <f>IFERROR(__xludf.DUMMYFUNCTION("""COMPUTED_VALUE"""),"")</f>
        <v/>
      </c>
      <c r="O130" s="8" t="str">
        <f>IFERROR(__xludf.DUMMYFUNCTION("""COMPUTED_VALUE"""),"")</f>
        <v/>
      </c>
    </row>
    <row r="131" ht="22.5" customHeight="1">
      <c r="A131" s="3">
        <v>45874.68750508102</v>
      </c>
      <c r="B131" s="4">
        <v>45874.0</v>
      </c>
      <c r="C131" s="4">
        <v>45871.0</v>
      </c>
      <c r="D131" s="5" t="s">
        <v>190</v>
      </c>
      <c r="E131" s="5">
        <v>207.0</v>
      </c>
      <c r="F131" s="5">
        <v>77.0</v>
      </c>
      <c r="G131" s="5">
        <v>15.0</v>
      </c>
      <c r="J131" s="10"/>
      <c r="K131" s="10"/>
      <c r="L131" s="10"/>
      <c r="M131" s="5">
        <v>299.0</v>
      </c>
      <c r="N131" s="7" t="str">
        <f>IFERROR(__xludf.DUMMYFUNCTION("""COMPUTED_VALUE"""),"")</f>
        <v/>
      </c>
      <c r="O131" s="8" t="str">
        <f>IFERROR(__xludf.DUMMYFUNCTION("""COMPUTED_VALUE"""),"")</f>
        <v/>
      </c>
    </row>
    <row r="132" ht="22.5" customHeight="1">
      <c r="A132" s="3">
        <v>45873.69402501157</v>
      </c>
      <c r="B132" s="4">
        <v>45873.0</v>
      </c>
      <c r="C132" s="4">
        <v>45871.0</v>
      </c>
      <c r="D132" s="5" t="s">
        <v>191</v>
      </c>
      <c r="E132" s="5">
        <v>140.0</v>
      </c>
      <c r="F132" s="5">
        <v>50.0</v>
      </c>
      <c r="G132" s="5">
        <v>9.0</v>
      </c>
      <c r="I132" s="5" t="s">
        <v>192</v>
      </c>
      <c r="J132" s="10"/>
      <c r="K132" s="10"/>
      <c r="L132" s="10"/>
      <c r="M132" s="5">
        <v>199.0</v>
      </c>
      <c r="N132" s="7">
        <f>IFERROR(__xludf.DUMMYFUNCTION("""COMPUTED_VALUE"""),2.533333333333333)</f>
        <v>2.533333333</v>
      </c>
      <c r="O132" s="8" t="str">
        <f>IFERROR(__xludf.DUMMYFUNCTION("""COMPUTED_VALUE"""),"")</f>
        <v/>
      </c>
    </row>
    <row r="133" ht="22.5" customHeight="1">
      <c r="A133" s="3">
        <v>45873.69331032407</v>
      </c>
      <c r="B133" s="4">
        <v>45873.0</v>
      </c>
      <c r="C133" s="4">
        <v>45871.0</v>
      </c>
      <c r="D133" s="5" t="s">
        <v>193</v>
      </c>
      <c r="E133" s="5">
        <v>201.0</v>
      </c>
      <c r="F133" s="5">
        <v>62.0</v>
      </c>
      <c r="G133" s="5">
        <v>18.0</v>
      </c>
      <c r="H133" s="5" t="s">
        <v>99</v>
      </c>
      <c r="J133" s="10"/>
      <c r="K133" s="10"/>
      <c r="L133" s="10"/>
      <c r="M133" s="5">
        <v>281.1</v>
      </c>
      <c r="N133" s="7" t="str">
        <f>IFERROR(__xludf.DUMMYFUNCTION("""COMPUTED_VALUE"""),"")</f>
        <v/>
      </c>
      <c r="O133" s="8" t="str">
        <f>IFERROR(__xludf.DUMMYFUNCTION("""COMPUTED_VALUE"""),"")</f>
        <v/>
      </c>
    </row>
    <row r="134" ht="22.5" customHeight="1">
      <c r="A134" s="3">
        <v>45873.69260689815</v>
      </c>
      <c r="B134" s="4">
        <v>45873.0</v>
      </c>
      <c r="C134" s="4">
        <v>45870.0</v>
      </c>
      <c r="D134" s="5" t="s">
        <v>183</v>
      </c>
      <c r="E134" s="5">
        <v>190.0</v>
      </c>
      <c r="F134" s="5">
        <v>64.0</v>
      </c>
      <c r="G134" s="5">
        <v>17.0</v>
      </c>
      <c r="H134" s="5" t="s">
        <v>99</v>
      </c>
      <c r="J134" s="10"/>
      <c r="K134" s="10"/>
      <c r="L134" s="10"/>
      <c r="M134" s="5">
        <v>271.1</v>
      </c>
      <c r="N134" s="7" t="str">
        <f>IFERROR(__xludf.DUMMYFUNCTION("""COMPUTED_VALUE"""),"")</f>
        <v/>
      </c>
      <c r="O134" s="8" t="str">
        <f>IFERROR(__xludf.DUMMYFUNCTION("""COMPUTED_VALUE"""),"")</f>
        <v/>
      </c>
    </row>
    <row r="135" ht="22.5" customHeight="1">
      <c r="A135" s="3">
        <v>45873.69184164352</v>
      </c>
      <c r="B135" s="4">
        <v>45873.0</v>
      </c>
      <c r="C135" s="4">
        <v>45870.0</v>
      </c>
      <c r="D135" s="5" t="s">
        <v>194</v>
      </c>
      <c r="E135" s="5">
        <v>183.0</v>
      </c>
      <c r="F135" s="5">
        <v>44.0</v>
      </c>
      <c r="G135" s="5">
        <v>20.0</v>
      </c>
      <c r="J135" s="10"/>
      <c r="K135" s="10"/>
      <c r="L135" s="10"/>
      <c r="M135" s="5">
        <v>247.0</v>
      </c>
      <c r="N135" s="7" t="str">
        <f>IFERROR(__xludf.DUMMYFUNCTION("""COMPUTED_VALUE"""),"")</f>
        <v/>
      </c>
      <c r="O135" s="8" t="str">
        <f>IFERROR(__xludf.DUMMYFUNCTION("""COMPUTED_VALUE"""),"")</f>
        <v/>
      </c>
    </row>
    <row r="136" ht="22.5" customHeight="1">
      <c r="A136" s="3">
        <v>45871.495959803244</v>
      </c>
      <c r="B136" s="4">
        <v>45871.0</v>
      </c>
      <c r="C136" s="4">
        <v>45870.0</v>
      </c>
      <c r="D136" s="5" t="s">
        <v>185</v>
      </c>
      <c r="E136" s="5">
        <v>214.0</v>
      </c>
      <c r="F136" s="5">
        <v>24.0</v>
      </c>
      <c r="G136" s="5">
        <v>11.0</v>
      </c>
      <c r="H136" s="5" t="s">
        <v>47</v>
      </c>
      <c r="I136" s="5" t="s">
        <v>70</v>
      </c>
      <c r="J136" s="10"/>
      <c r="K136" s="10"/>
      <c r="L136" s="10"/>
      <c r="M136" s="5">
        <v>249.4</v>
      </c>
      <c r="N136" s="7">
        <f>IFERROR(__xludf.DUMMYFUNCTION("""COMPUTED_VALUE"""),3.6666666666666665)</f>
        <v>3.666666667</v>
      </c>
      <c r="O136" s="8" t="str">
        <f>IFERROR(__xludf.DUMMYFUNCTION("""COMPUTED_VALUE"""),"")</f>
        <v/>
      </c>
    </row>
    <row r="137" ht="22.5" customHeight="1">
      <c r="A137" s="3">
        <v>45871.49521270834</v>
      </c>
      <c r="B137" s="4">
        <v>45871.0</v>
      </c>
      <c r="C137" s="4">
        <v>45869.0</v>
      </c>
      <c r="D137" s="5" t="s">
        <v>195</v>
      </c>
      <c r="E137" s="5">
        <v>195.0</v>
      </c>
      <c r="F137" s="5">
        <v>42.0</v>
      </c>
      <c r="G137" s="5">
        <v>16.0</v>
      </c>
      <c r="H137" s="5" t="s">
        <v>96</v>
      </c>
      <c r="J137" s="10"/>
      <c r="K137" s="10"/>
      <c r="L137" s="10"/>
      <c r="M137" s="5">
        <v>253.1</v>
      </c>
      <c r="N137" s="7" t="str">
        <f>IFERROR(__xludf.DUMMYFUNCTION("""COMPUTED_VALUE"""),"")</f>
        <v/>
      </c>
      <c r="O137" s="8" t="str">
        <f>IFERROR(__xludf.DUMMYFUNCTION("""COMPUTED_VALUE"""),"")</f>
        <v/>
      </c>
    </row>
    <row r="138" ht="22.5" customHeight="1">
      <c r="A138" s="3">
        <v>45871.49448263889</v>
      </c>
      <c r="B138" s="4">
        <v>45871.0</v>
      </c>
      <c r="C138" s="4">
        <v>45869.0</v>
      </c>
      <c r="D138" s="5" t="s">
        <v>196</v>
      </c>
      <c r="E138" s="5">
        <v>165.0</v>
      </c>
      <c r="F138" s="5">
        <v>48.0</v>
      </c>
      <c r="G138" s="5">
        <v>14.0</v>
      </c>
      <c r="H138" s="5" t="s">
        <v>141</v>
      </c>
      <c r="J138" s="10"/>
      <c r="K138" s="10"/>
      <c r="L138" s="10"/>
      <c r="M138" s="5">
        <v>227.2</v>
      </c>
      <c r="N138" s="7" t="str">
        <f>IFERROR(__xludf.DUMMYFUNCTION("""COMPUTED_VALUE"""),"")</f>
        <v/>
      </c>
      <c r="O138" s="8" t="str">
        <f>IFERROR(__xludf.DUMMYFUNCTION("""COMPUTED_VALUE"""),"")</f>
        <v/>
      </c>
    </row>
    <row r="139" ht="22.5" customHeight="1">
      <c r="A139" s="3">
        <v>45870.698743483794</v>
      </c>
      <c r="B139" s="4">
        <v>45870.0</v>
      </c>
      <c r="C139" s="4">
        <v>45869.0</v>
      </c>
      <c r="D139" s="5" t="s">
        <v>197</v>
      </c>
      <c r="E139" s="5">
        <v>265.0</v>
      </c>
      <c r="F139" s="5">
        <v>12.0</v>
      </c>
      <c r="G139" s="5">
        <v>12.0</v>
      </c>
      <c r="H139" s="5" t="s">
        <v>99</v>
      </c>
      <c r="I139" s="5" t="s">
        <v>198</v>
      </c>
      <c r="J139" s="10"/>
      <c r="K139" s="10"/>
      <c r="L139" s="10"/>
      <c r="M139" s="5">
        <v>288.1</v>
      </c>
      <c r="N139" s="7">
        <f>IFERROR(__xludf.DUMMYFUNCTION("""COMPUTED_VALUE"""),4.666666666666667)</f>
        <v>4.666666667</v>
      </c>
      <c r="O139" s="8" t="str">
        <f>IFERROR(__xludf.DUMMYFUNCTION("""COMPUTED_VALUE"""),"")</f>
        <v/>
      </c>
    </row>
    <row r="140" ht="22.5" customHeight="1">
      <c r="A140" s="3">
        <v>45870.69790162037</v>
      </c>
      <c r="B140" s="4">
        <v>45870.0</v>
      </c>
      <c r="C140" s="4">
        <v>45868.0</v>
      </c>
      <c r="D140" s="5" t="s">
        <v>199</v>
      </c>
      <c r="E140" s="5">
        <v>224.0</v>
      </c>
      <c r="F140" s="5">
        <v>5.0</v>
      </c>
      <c r="G140" s="5">
        <v>24.0</v>
      </c>
      <c r="H140" s="5" t="s">
        <v>61</v>
      </c>
      <c r="J140" s="10"/>
      <c r="K140" s="10"/>
      <c r="L140" s="10"/>
      <c r="M140" s="5">
        <v>253.3</v>
      </c>
      <c r="N140" s="7" t="str">
        <f>IFERROR(__xludf.DUMMYFUNCTION("""COMPUTED_VALUE"""),"")</f>
        <v/>
      </c>
      <c r="O140" s="8" t="str">
        <f>IFERROR(__xludf.DUMMYFUNCTION("""COMPUTED_VALUE"""),"")</f>
        <v/>
      </c>
    </row>
    <row r="141" ht="22.5" customHeight="1">
      <c r="A141" s="3">
        <v>45870.697150555556</v>
      </c>
      <c r="B141" s="4">
        <v>45870.0</v>
      </c>
      <c r="C141" s="4">
        <v>45868.0</v>
      </c>
      <c r="D141" s="5" t="s">
        <v>200</v>
      </c>
      <c r="E141" s="5">
        <v>200.0</v>
      </c>
      <c r="F141" s="5">
        <v>5.0</v>
      </c>
      <c r="G141" s="5">
        <v>13.0</v>
      </c>
      <c r="J141" s="10"/>
      <c r="K141" s="10"/>
      <c r="L141" s="10"/>
      <c r="M141" s="5">
        <v>218.0</v>
      </c>
      <c r="N141" s="7" t="str">
        <f>IFERROR(__xludf.DUMMYFUNCTION("""COMPUTED_VALUE"""),"")</f>
        <v/>
      </c>
      <c r="O141" s="8" t="str">
        <f>IFERROR(__xludf.DUMMYFUNCTION("""COMPUTED_VALUE"""),"")</f>
        <v/>
      </c>
    </row>
    <row r="142" ht="22.5" customHeight="1">
      <c r="A142" s="3">
        <v>45870.69645644676</v>
      </c>
      <c r="B142" s="4">
        <v>45870.0</v>
      </c>
      <c r="C142" s="4">
        <v>45868.0</v>
      </c>
      <c r="D142" s="5" t="s">
        <v>201</v>
      </c>
      <c r="E142" s="5">
        <v>123.0</v>
      </c>
      <c r="F142" s="5">
        <v>9.0</v>
      </c>
      <c r="G142" s="5">
        <v>6.0</v>
      </c>
      <c r="H142" s="5" t="s">
        <v>99</v>
      </c>
      <c r="J142" s="10"/>
      <c r="K142" s="10"/>
      <c r="L142" s="10"/>
      <c r="M142" s="5">
        <v>138.1</v>
      </c>
      <c r="N142" s="7" t="str">
        <f>IFERROR(__xludf.DUMMYFUNCTION("""COMPUTED_VALUE"""),"")</f>
        <v/>
      </c>
      <c r="O142" s="8" t="str">
        <f>IFERROR(__xludf.DUMMYFUNCTION("""COMPUTED_VALUE"""),"")</f>
        <v/>
      </c>
    </row>
    <row r="143" ht="22.5" customHeight="1">
      <c r="A143" s="3">
        <v>45869.7231290625</v>
      </c>
      <c r="B143" s="4">
        <v>45869.0</v>
      </c>
      <c r="C143" s="4">
        <v>45868.0</v>
      </c>
      <c r="D143" s="5" t="s">
        <v>202</v>
      </c>
      <c r="E143" s="5">
        <v>65.0</v>
      </c>
      <c r="F143" s="5">
        <v>30.0</v>
      </c>
      <c r="G143" s="5">
        <v>3.0</v>
      </c>
      <c r="I143" s="5" t="s">
        <v>203</v>
      </c>
      <c r="J143" s="10"/>
      <c r="K143" s="10"/>
      <c r="L143" s="10"/>
      <c r="M143" s="5">
        <v>98.0</v>
      </c>
      <c r="N143" s="7">
        <f>IFERROR(__xludf.DUMMYFUNCTION("""COMPUTED_VALUE"""),6.166666666666667)</f>
        <v>6.166666667</v>
      </c>
      <c r="O143" s="8" t="str">
        <f>IFERROR(__xludf.DUMMYFUNCTION("""COMPUTED_VALUE"""),"")</f>
        <v/>
      </c>
    </row>
    <row r="144" ht="22.5" customHeight="1">
      <c r="A144" s="3">
        <v>45869.722220625</v>
      </c>
      <c r="B144" s="4">
        <v>45869.0</v>
      </c>
      <c r="C144" s="4">
        <v>45867.0</v>
      </c>
      <c r="D144" s="5" t="s">
        <v>204</v>
      </c>
      <c r="E144" s="5">
        <v>386.0</v>
      </c>
      <c r="F144" s="5">
        <v>92.0</v>
      </c>
      <c r="G144" s="5">
        <v>30.0</v>
      </c>
      <c r="H144" s="5" t="s">
        <v>205</v>
      </c>
      <c r="J144" s="10"/>
      <c r="K144" s="10"/>
      <c r="L144" s="10"/>
      <c r="M144" s="5">
        <v>508.3</v>
      </c>
      <c r="N144" s="7" t="str">
        <f>IFERROR(__xludf.DUMMYFUNCTION("""COMPUTED_VALUE"""),"")</f>
        <v/>
      </c>
      <c r="O144" s="8" t="str">
        <f>IFERROR(__xludf.DUMMYFUNCTION("""COMPUTED_VALUE"""),"")</f>
        <v/>
      </c>
    </row>
    <row r="145" ht="22.5" customHeight="1">
      <c r="A145" s="3">
        <v>45869.72158189815</v>
      </c>
      <c r="B145" s="4">
        <v>45869.0</v>
      </c>
      <c r="C145" s="4">
        <v>45867.0</v>
      </c>
      <c r="D145" s="5" t="s">
        <v>206</v>
      </c>
      <c r="E145" s="5">
        <v>335.0</v>
      </c>
      <c r="F145" s="5">
        <v>119.0</v>
      </c>
      <c r="G145" s="5">
        <v>29.0</v>
      </c>
      <c r="H145" s="5" t="s">
        <v>99</v>
      </c>
      <c r="J145" s="10"/>
      <c r="K145" s="10"/>
      <c r="L145" s="10"/>
      <c r="M145" s="5">
        <v>483.1</v>
      </c>
      <c r="N145" s="7" t="str">
        <f>IFERROR(__xludf.DUMMYFUNCTION("""COMPUTED_VALUE"""),"")</f>
        <v/>
      </c>
      <c r="O145" s="8" t="str">
        <f>IFERROR(__xludf.DUMMYFUNCTION("""COMPUTED_VALUE"""),"")</f>
        <v/>
      </c>
    </row>
    <row r="146" ht="22.5" customHeight="1">
      <c r="A146" s="3">
        <v>45869.72064017361</v>
      </c>
      <c r="B146" s="4">
        <v>45869.0</v>
      </c>
      <c r="C146" s="4">
        <v>45866.0</v>
      </c>
      <c r="D146" s="5" t="s">
        <v>207</v>
      </c>
      <c r="E146" s="5">
        <v>101.0</v>
      </c>
      <c r="F146" s="5">
        <v>40.0</v>
      </c>
      <c r="G146" s="5">
        <v>5.0</v>
      </c>
      <c r="J146" s="10"/>
      <c r="K146" s="10"/>
      <c r="L146" s="10"/>
      <c r="M146" s="5">
        <v>146.0</v>
      </c>
      <c r="N146" s="7" t="str">
        <f>IFERROR(__xludf.DUMMYFUNCTION("""COMPUTED_VALUE"""),"")</f>
        <v/>
      </c>
      <c r="O146" s="8" t="str">
        <f>IFERROR(__xludf.DUMMYFUNCTION("""COMPUTED_VALUE"""),"")</f>
        <v/>
      </c>
    </row>
    <row r="147" ht="22.5" customHeight="1">
      <c r="A147" s="3">
        <v>46144.54988089121</v>
      </c>
      <c r="B147" s="4">
        <v>46144.0</v>
      </c>
      <c r="C147" s="4">
        <v>46140.0</v>
      </c>
      <c r="D147" s="5" t="s">
        <v>208</v>
      </c>
      <c r="E147" s="5">
        <v>140.0</v>
      </c>
      <c r="F147" s="5">
        <v>47.0</v>
      </c>
      <c r="G147" s="5">
        <v>19.0</v>
      </c>
      <c r="I147" s="5" t="s">
        <v>209</v>
      </c>
      <c r="J147" s="5" t="s">
        <v>210</v>
      </c>
      <c r="K147" s="5">
        <v>1.0</v>
      </c>
      <c r="L147" s="5" t="s">
        <v>211</v>
      </c>
      <c r="M147" s="5">
        <v>213.0</v>
      </c>
      <c r="N147" s="6">
        <f>IFERROR(__xludf.DUMMYFUNCTION("""COMPUTED_VALUE"""),1.0)</f>
        <v>1</v>
      </c>
      <c r="O147" s="11">
        <f>IFERROR(__xludf.DUMMYFUNCTION("""COMPUTED_VALUE"""),3.0)</f>
        <v>3</v>
      </c>
    </row>
    <row r="148" ht="22.5" customHeight="1">
      <c r="A148" s="3">
        <v>46144.55079238426</v>
      </c>
      <c r="B148" s="4">
        <v>46144.0</v>
      </c>
      <c r="C148" s="4">
        <v>46140.0</v>
      </c>
      <c r="D148" s="5" t="s">
        <v>212</v>
      </c>
      <c r="E148" s="5">
        <v>160.0</v>
      </c>
      <c r="F148" s="5">
        <v>51.0</v>
      </c>
      <c r="G148" s="5">
        <v>19.0</v>
      </c>
      <c r="I148" s="5">
        <v>2.0</v>
      </c>
      <c r="J148" s="5">
        <v>3.0</v>
      </c>
      <c r="K148" s="5">
        <v>2.0</v>
      </c>
      <c r="L148" s="5" t="s">
        <v>213</v>
      </c>
      <c r="M148" s="5">
        <v>247.0</v>
      </c>
      <c r="N148" s="6">
        <f>IFERROR(__xludf.DUMMYFUNCTION("""COMPUTED_VALUE"""),0.06666666666666667)</f>
        <v>0.06666666667</v>
      </c>
      <c r="O148" s="11">
        <f>IFERROR(__xludf.DUMMYFUNCTION("""COMPUTED_VALUE"""),0.1)</f>
        <v>0.1</v>
      </c>
    </row>
    <row r="149" ht="22.5" customHeight="1">
      <c r="A149" s="3">
        <v>46144.55210539352</v>
      </c>
      <c r="B149" s="4">
        <v>46144.0</v>
      </c>
      <c r="C149" s="4">
        <v>46142.0</v>
      </c>
      <c r="D149" s="5" t="s">
        <v>214</v>
      </c>
      <c r="E149" s="5">
        <v>146.0</v>
      </c>
      <c r="F149" s="5">
        <v>51.0</v>
      </c>
      <c r="G149" s="5">
        <v>12.0</v>
      </c>
      <c r="I149" s="5" t="s">
        <v>215</v>
      </c>
      <c r="J149" s="5" t="s">
        <v>216</v>
      </c>
      <c r="K149" s="5">
        <v>1.0</v>
      </c>
      <c r="L149" s="5">
        <v>4.0</v>
      </c>
      <c r="M149" s="5">
        <v>219.0</v>
      </c>
      <c r="N149" s="6">
        <f>IFERROR(__xludf.DUMMYFUNCTION("""COMPUTED_VALUE"""),1.0)</f>
        <v>1</v>
      </c>
      <c r="O149" s="11">
        <f>IFERROR(__xludf.DUMMYFUNCTION("""COMPUTED_VALUE"""),3.0)</f>
        <v>3</v>
      </c>
    </row>
    <row r="150" ht="22.5" customHeight="1">
      <c r="A150" s="3">
        <v>46144.55242886574</v>
      </c>
      <c r="B150" s="4">
        <v>46144.0</v>
      </c>
      <c r="I150" s="5" t="s">
        <v>217</v>
      </c>
      <c r="N150" s="6">
        <f>IFERROR(__xludf.DUMMYFUNCTION("""COMPUTED_VALUE"""),15.533333333333333)</f>
        <v>15.53333333</v>
      </c>
      <c r="O150" s="11" t="str">
        <f>IFERROR(__xludf.DUMMYFUNCTION("""COMPUTED_VALUE"""),"")</f>
        <v/>
      </c>
    </row>
    <row r="151" ht="22.5" customHeight="1">
      <c r="A151" s="3">
        <v>46146.713405069444</v>
      </c>
      <c r="B151" s="4">
        <v>46146.0</v>
      </c>
      <c r="C151" s="4">
        <v>46141.0</v>
      </c>
      <c r="D151" s="5" t="s">
        <v>218</v>
      </c>
      <c r="E151" s="5">
        <v>191.0</v>
      </c>
      <c r="F151" s="5">
        <v>57.0</v>
      </c>
      <c r="G151" s="5">
        <v>20.0</v>
      </c>
      <c r="I151" s="5">
        <v>2.0</v>
      </c>
      <c r="J151" s="5" t="s">
        <v>219</v>
      </c>
      <c r="K151" s="5">
        <v>2.0</v>
      </c>
      <c r="L151" s="5">
        <v>13.0</v>
      </c>
      <c r="M151" s="5">
        <v>288.0</v>
      </c>
      <c r="N151" s="6">
        <f>IFERROR(__xludf.DUMMYFUNCTION("""COMPUTED_VALUE"""),0.06666666666666667)</f>
        <v>0.06666666667</v>
      </c>
      <c r="O151" s="11">
        <f>IFERROR(__xludf.DUMMYFUNCTION("""COMPUTED_VALUE"""),3.0)</f>
        <v>3</v>
      </c>
    </row>
    <row r="152" ht="22.5" customHeight="1">
      <c r="A152" s="3">
        <v>46146.71476371528</v>
      </c>
      <c r="B152" s="4">
        <v>46146.0</v>
      </c>
      <c r="C152" s="4">
        <v>46142.0</v>
      </c>
      <c r="D152" s="5" t="s">
        <v>220</v>
      </c>
      <c r="E152" s="5">
        <v>539.0</v>
      </c>
      <c r="F152" s="5">
        <v>13.0</v>
      </c>
      <c r="G152" s="5">
        <v>586.0</v>
      </c>
      <c r="I152" s="5">
        <v>2.0</v>
      </c>
      <c r="J152" s="5" t="s">
        <v>221</v>
      </c>
      <c r="K152" s="5">
        <v>46.0</v>
      </c>
      <c r="L152" s="5">
        <v>2.0</v>
      </c>
      <c r="M152" s="5">
        <v>1201.0</v>
      </c>
      <c r="N152" s="6">
        <f>IFERROR(__xludf.DUMMYFUNCTION("""COMPUTED_VALUE"""),0.06666666666666667)</f>
        <v>0.06666666667</v>
      </c>
      <c r="O152" s="11">
        <f>IFERROR(__xludf.DUMMYFUNCTION("""COMPUTED_VALUE"""),13.366666666666667)</f>
        <v>13.36666667</v>
      </c>
    </row>
    <row r="153" ht="22.5" customHeight="1">
      <c r="A153" s="3">
        <v>46147.710157106485</v>
      </c>
      <c r="B153" s="4">
        <v>46147.0</v>
      </c>
      <c r="C153" s="4" t="s">
        <v>222</v>
      </c>
      <c r="D153" s="5" t="s">
        <v>223</v>
      </c>
      <c r="E153" s="5">
        <v>159.0</v>
      </c>
      <c r="F153" s="5">
        <v>45.0</v>
      </c>
      <c r="G153" s="5">
        <v>19.0</v>
      </c>
      <c r="I153" s="5">
        <v>2.0</v>
      </c>
      <c r="J153" s="5" t="s">
        <v>224</v>
      </c>
      <c r="K153" s="5">
        <v>1.0</v>
      </c>
      <c r="L153" s="5">
        <v>1.0</v>
      </c>
      <c r="M153" s="5">
        <v>230.0</v>
      </c>
      <c r="N153" s="6">
        <f>IFERROR(__xludf.DUMMYFUNCTION("""COMPUTED_VALUE"""),0.06666666666666667)</f>
        <v>0.06666666667</v>
      </c>
      <c r="O153" s="11">
        <f>IFERROR(__xludf.DUMMYFUNCTION("""COMPUTED_VALUE"""),3.0)</f>
        <v>3</v>
      </c>
    </row>
    <row r="154" ht="22.5" customHeight="1">
      <c r="A154" s="3">
        <v>46147.711102013884</v>
      </c>
      <c r="B154" s="4">
        <v>46147.0</v>
      </c>
      <c r="C154" s="4" t="s">
        <v>225</v>
      </c>
      <c r="D154" s="5" t="s">
        <v>226</v>
      </c>
      <c r="E154" s="5">
        <v>278.0</v>
      </c>
      <c r="F154" s="5">
        <v>19.0</v>
      </c>
      <c r="G154" s="5">
        <v>104.0</v>
      </c>
      <c r="I154" s="5" t="s">
        <v>227</v>
      </c>
      <c r="J154" s="5" t="s">
        <v>228</v>
      </c>
      <c r="K154" s="5">
        <v>10.0</v>
      </c>
      <c r="M154" s="5">
        <v>420.0</v>
      </c>
      <c r="N154" s="6">
        <f>IFERROR(__xludf.DUMMYFUNCTION("""COMPUTED_VALUE"""),1.2333333333333334)</f>
        <v>1.233333333</v>
      </c>
      <c r="O154" s="11">
        <f>IFERROR(__xludf.DUMMYFUNCTION("""COMPUTED_VALUE"""),7.733333333333333)</f>
        <v>7.733333333</v>
      </c>
    </row>
    <row r="155" ht="22.5" customHeight="1">
      <c r="A155" s="3">
        <v>46148.71412909722</v>
      </c>
      <c r="B155" s="4">
        <v>46148.0</v>
      </c>
      <c r="C155" s="4" t="s">
        <v>222</v>
      </c>
      <c r="D155" s="5" t="s">
        <v>229</v>
      </c>
      <c r="E155" s="5">
        <v>311.0</v>
      </c>
      <c r="F155" s="5">
        <v>8.0</v>
      </c>
      <c r="G155" s="5">
        <v>166.0</v>
      </c>
      <c r="I155" s="5">
        <v>2.0</v>
      </c>
      <c r="J155" s="5">
        <v>10.0</v>
      </c>
      <c r="K155" s="5">
        <v>8.0</v>
      </c>
      <c r="L155" s="5">
        <v>9.0</v>
      </c>
      <c r="M155" s="5">
        <v>514.0</v>
      </c>
      <c r="N155" s="6">
        <f>IFERROR(__xludf.DUMMYFUNCTION("""COMPUTED_VALUE"""),0.06666666666666667)</f>
        <v>0.06666666667</v>
      </c>
      <c r="O155" s="11">
        <f>IFERROR(__xludf.DUMMYFUNCTION("""COMPUTED_VALUE"""),0.3333333333333333)</f>
        <v>0.3333333333</v>
      </c>
    </row>
    <row r="156" ht="22.5" customHeight="1">
      <c r="A156" s="3">
        <v>46148.71496028935</v>
      </c>
      <c r="B156" s="4">
        <v>46148.0</v>
      </c>
      <c r="C156" s="4" t="s">
        <v>230</v>
      </c>
      <c r="D156" s="5" t="s">
        <v>231</v>
      </c>
      <c r="E156" s="5">
        <v>351.0</v>
      </c>
      <c r="F156" s="5">
        <v>93.0</v>
      </c>
      <c r="G156" s="5">
        <v>46.0</v>
      </c>
      <c r="I156" s="5" t="s">
        <v>232</v>
      </c>
      <c r="J156" s="5" t="s">
        <v>233</v>
      </c>
      <c r="K156" s="5">
        <v>4.0</v>
      </c>
      <c r="M156" s="5">
        <v>505.0</v>
      </c>
      <c r="N156" s="6">
        <f>IFERROR(__xludf.DUMMYFUNCTION("""COMPUTED_VALUE"""),5.0)</f>
        <v>5</v>
      </c>
      <c r="O156" s="11">
        <f>IFERROR(__xludf.DUMMYFUNCTION("""COMPUTED_VALUE"""),5.0)</f>
        <v>5</v>
      </c>
    </row>
    <row r="157" ht="22.5" customHeight="1">
      <c r="A157" s="3">
        <v>46148.71572995371</v>
      </c>
      <c r="B157" s="4">
        <v>46148.0</v>
      </c>
      <c r="C157" s="4" t="s">
        <v>222</v>
      </c>
      <c r="D157" s="5" t="s">
        <v>234</v>
      </c>
      <c r="E157" s="5">
        <v>122.0</v>
      </c>
      <c r="F157" s="5">
        <v>13.0</v>
      </c>
      <c r="G157" s="5">
        <v>10.0</v>
      </c>
      <c r="I157" s="5">
        <v>1.0</v>
      </c>
      <c r="J157" s="5">
        <v>3.0</v>
      </c>
      <c r="K157" s="5">
        <v>1.0</v>
      </c>
      <c r="M157" s="5">
        <v>150.0</v>
      </c>
      <c r="N157" s="6">
        <f>IFERROR(__xludf.DUMMYFUNCTION("""COMPUTED_VALUE"""),0.03333333333333333)</f>
        <v>0.03333333333</v>
      </c>
      <c r="O157" s="11">
        <f>IFERROR(__xludf.DUMMYFUNCTION("""COMPUTED_VALUE"""),0.1)</f>
        <v>0.1</v>
      </c>
    </row>
    <row r="158" ht="22.5" customHeight="1">
      <c r="A158" s="3">
        <v>46148.71594577546</v>
      </c>
      <c r="B158" s="4">
        <v>46148.0</v>
      </c>
      <c r="I158" s="5" t="s">
        <v>235</v>
      </c>
      <c r="N158" s="6">
        <f>IFERROR(__xludf.DUMMYFUNCTION("""COMPUTED_VALUE"""),1.6333333333333333)</f>
        <v>1.633333333</v>
      </c>
      <c r="O158" s="11" t="str">
        <f>IFERROR(__xludf.DUMMYFUNCTION("""COMPUTED_VALUE"""),"")</f>
        <v/>
      </c>
    </row>
    <row r="159" ht="22.5" customHeight="1">
      <c r="A159" s="3">
        <v>46149.702289594905</v>
      </c>
      <c r="B159" s="4" t="s">
        <v>236</v>
      </c>
      <c r="C159" s="4" t="s">
        <v>222</v>
      </c>
      <c r="D159" s="5" t="s">
        <v>237</v>
      </c>
      <c r="E159" s="5">
        <v>325.0</v>
      </c>
      <c r="F159" s="5">
        <v>66.0</v>
      </c>
      <c r="G159" s="5">
        <v>31.0</v>
      </c>
      <c r="I159" s="5" t="s">
        <v>238</v>
      </c>
      <c r="J159" s="5" t="s">
        <v>239</v>
      </c>
      <c r="K159" s="5">
        <v>2.0</v>
      </c>
      <c r="L159" s="5">
        <v>3.0</v>
      </c>
      <c r="M159" s="5">
        <v>445.0</v>
      </c>
      <c r="N159" s="6">
        <f>IFERROR(__xludf.DUMMYFUNCTION("""COMPUTED_VALUE"""),5.666666666666667)</f>
        <v>5.666666667</v>
      </c>
      <c r="O159" s="11">
        <f>IFERROR(__xludf.DUMMYFUNCTION("""COMPUTED_VALUE"""),12.0)</f>
        <v>12</v>
      </c>
    </row>
    <row r="160" ht="22.5" customHeight="1">
      <c r="A160" s="3">
        <v>46149.703260069444</v>
      </c>
      <c r="B160" s="4" t="s">
        <v>236</v>
      </c>
      <c r="C160" s="4" t="s">
        <v>222</v>
      </c>
      <c r="D160" s="5" t="s">
        <v>240</v>
      </c>
      <c r="E160" s="5">
        <v>500.0</v>
      </c>
      <c r="F160" s="5">
        <v>7.0</v>
      </c>
      <c r="G160" s="5">
        <v>489.0</v>
      </c>
      <c r="I160" s="5" t="s">
        <v>241</v>
      </c>
      <c r="J160" s="5">
        <v>18.0</v>
      </c>
      <c r="K160" s="5">
        <v>39.0</v>
      </c>
      <c r="L160" s="5">
        <v>12.0</v>
      </c>
      <c r="M160" s="5">
        <v>1.069</v>
      </c>
      <c r="N160" s="6">
        <f>IFERROR(__xludf.DUMMYFUNCTION("""COMPUTED_VALUE"""),2.0)</f>
        <v>2</v>
      </c>
      <c r="O160" s="11">
        <f>IFERROR(__xludf.DUMMYFUNCTION("""COMPUTED_VALUE"""),0.6)</f>
        <v>0.6</v>
      </c>
    </row>
    <row r="161" ht="22.5" customHeight="1">
      <c r="A161" s="12"/>
      <c r="B161" s="13"/>
      <c r="C161" s="14"/>
      <c r="D161" s="15"/>
      <c r="E161" s="15"/>
      <c r="F161" s="15"/>
      <c r="G161" s="15"/>
      <c r="H161" s="15"/>
      <c r="I161" s="15"/>
      <c r="J161" s="8"/>
      <c r="K161" s="8"/>
      <c r="L161" s="8"/>
      <c r="M161" s="15"/>
      <c r="N161" s="7" t="str">
        <f>IFERROR(__xludf.DUMMYFUNCTION("""COMPUTED_VALUE"""),"")</f>
        <v/>
      </c>
      <c r="O161" s="8" t="str">
        <f>IFERROR(__xludf.DUMMYFUNCTION("""COMPUTED_VALUE"""),"")</f>
        <v/>
      </c>
    </row>
    <row r="162">
      <c r="N162" s="16" t="str">
        <f>IFERROR(__xludf.DUMMYFUNCTION("""COMPUTED_VALUE"""),"")</f>
        <v/>
      </c>
      <c r="O162" s="17" t="str">
        <f>IFERROR(__xludf.DUMMYFUNCTION("""COMPUTED_VALUE"""),"")</f>
        <v/>
      </c>
    </row>
    <row r="163">
      <c r="N163" s="16" t="str">
        <f>IFERROR(__xludf.DUMMYFUNCTION("""COMPUTED_VALUE"""),"")</f>
        <v/>
      </c>
      <c r="O163" s="17" t="str">
        <f>IFERROR(__xludf.DUMMYFUNCTION("""COMPUTED_VALUE"""),"")</f>
        <v/>
      </c>
    </row>
    <row r="164">
      <c r="N164" s="16" t="str">
        <f>IFERROR(__xludf.DUMMYFUNCTION("""COMPUTED_VALUE"""),"")</f>
        <v/>
      </c>
      <c r="O164" s="17" t="str">
        <f>IFERROR(__xludf.DUMMYFUNCTION("""COMPUTED_VALUE"""),"")</f>
        <v/>
      </c>
    </row>
    <row r="165">
      <c r="N165" s="16" t="str">
        <f>IFERROR(__xludf.DUMMYFUNCTION("""COMPUTED_VALUE"""),"")</f>
        <v/>
      </c>
      <c r="O165" s="17" t="str">
        <f>IFERROR(__xludf.DUMMYFUNCTION("""COMPUTED_VALUE"""),"")</f>
        <v/>
      </c>
    </row>
    <row r="166">
      <c r="N166" s="16" t="str">
        <f>IFERROR(__xludf.DUMMYFUNCTION("""COMPUTED_VALUE"""),"")</f>
        <v/>
      </c>
      <c r="O166" s="17" t="str">
        <f>IFERROR(__xludf.DUMMYFUNCTION("""COMPUTED_VALUE"""),"")</f>
        <v/>
      </c>
    </row>
    <row r="167">
      <c r="N167" s="16" t="str">
        <f>IFERROR(__xludf.DUMMYFUNCTION("""COMPUTED_VALUE"""),"")</f>
        <v/>
      </c>
      <c r="O167" s="17" t="str">
        <f>IFERROR(__xludf.DUMMYFUNCTION("""COMPUTED_VALUE"""),"")</f>
        <v/>
      </c>
    </row>
    <row r="168">
      <c r="N168" s="16" t="str">
        <f>IFERROR(__xludf.DUMMYFUNCTION("""COMPUTED_VALUE"""),"")</f>
        <v/>
      </c>
      <c r="O168" s="17" t="str">
        <f>IFERROR(__xludf.DUMMYFUNCTION("""COMPUTED_VALUE"""),"")</f>
        <v/>
      </c>
    </row>
    <row r="169">
      <c r="N169" s="16" t="str">
        <f>IFERROR(__xludf.DUMMYFUNCTION("""COMPUTED_VALUE"""),"")</f>
        <v/>
      </c>
      <c r="O169" s="17" t="str">
        <f>IFERROR(__xludf.DUMMYFUNCTION("""COMPUTED_VALUE"""),"")</f>
        <v/>
      </c>
    </row>
    <row r="170">
      <c r="N170" s="16" t="str">
        <f>IFERROR(__xludf.DUMMYFUNCTION("""COMPUTED_VALUE"""),"")</f>
        <v/>
      </c>
      <c r="O170" s="17" t="str">
        <f>IFERROR(__xludf.DUMMYFUNCTION("""COMPUTED_VALUE"""),"")</f>
        <v/>
      </c>
    </row>
    <row r="171">
      <c r="N171" s="16" t="str">
        <f>IFERROR(__xludf.DUMMYFUNCTION("""COMPUTED_VALUE"""),"")</f>
        <v/>
      </c>
      <c r="O171" s="17" t="str">
        <f>IFERROR(__xludf.DUMMYFUNCTION("""COMPUTED_VALUE"""),"")</f>
        <v/>
      </c>
    </row>
    <row r="172">
      <c r="N172" s="16" t="str">
        <f>IFERROR(__xludf.DUMMYFUNCTION("""COMPUTED_VALUE"""),"")</f>
        <v/>
      </c>
      <c r="O172" s="17" t="str">
        <f>IFERROR(__xludf.DUMMYFUNCTION("""COMPUTED_VALUE"""),"")</f>
        <v/>
      </c>
    </row>
    <row r="173">
      <c r="N173" s="16" t="str">
        <f>IFERROR(__xludf.DUMMYFUNCTION("""COMPUTED_VALUE"""),"")</f>
        <v/>
      </c>
      <c r="O173" s="17" t="str">
        <f>IFERROR(__xludf.DUMMYFUNCTION("""COMPUTED_VALUE"""),"")</f>
        <v/>
      </c>
    </row>
    <row r="174">
      <c r="N174" s="16" t="str">
        <f>IFERROR(__xludf.DUMMYFUNCTION("""COMPUTED_VALUE"""),"")</f>
        <v/>
      </c>
      <c r="O174" s="17" t="str">
        <f>IFERROR(__xludf.DUMMYFUNCTION("""COMPUTED_VALUE"""),"")</f>
        <v/>
      </c>
    </row>
    <row r="175">
      <c r="N175" s="16" t="str">
        <f>IFERROR(__xludf.DUMMYFUNCTION("""COMPUTED_VALUE"""),"")</f>
        <v/>
      </c>
      <c r="O175" s="17" t="str">
        <f>IFERROR(__xludf.DUMMYFUNCTION("""COMPUTED_VALUE"""),"")</f>
        <v/>
      </c>
    </row>
    <row r="176">
      <c r="N176" s="16" t="str">
        <f>IFERROR(__xludf.DUMMYFUNCTION("""COMPUTED_VALUE"""),"")</f>
        <v/>
      </c>
      <c r="O176" s="17" t="str">
        <f>IFERROR(__xludf.DUMMYFUNCTION("""COMPUTED_VALUE"""),"")</f>
        <v/>
      </c>
    </row>
    <row r="177">
      <c r="N177" s="16" t="str">
        <f>IFERROR(__xludf.DUMMYFUNCTION("""COMPUTED_VALUE"""),"")</f>
        <v/>
      </c>
      <c r="O177" s="17" t="str">
        <f>IFERROR(__xludf.DUMMYFUNCTION("""COMPUTED_VALUE"""),"")</f>
        <v/>
      </c>
    </row>
    <row r="178">
      <c r="N178" s="16" t="str">
        <f>IFERROR(__xludf.DUMMYFUNCTION("""COMPUTED_VALUE"""),"")</f>
        <v/>
      </c>
      <c r="O178" s="17" t="str">
        <f>IFERROR(__xludf.DUMMYFUNCTION("""COMPUTED_VALUE"""),"")</f>
        <v/>
      </c>
    </row>
    <row r="179">
      <c r="N179" s="16" t="str">
        <f>IFERROR(__xludf.DUMMYFUNCTION("""COMPUTED_VALUE"""),"")</f>
        <v/>
      </c>
      <c r="O179" s="17" t="str">
        <f>IFERROR(__xludf.DUMMYFUNCTION("""COMPUTED_VALUE"""),"")</f>
        <v/>
      </c>
    </row>
    <row r="180">
      <c r="N180" s="16" t="str">
        <f>IFERROR(__xludf.DUMMYFUNCTION("""COMPUTED_VALUE"""),"")</f>
        <v/>
      </c>
      <c r="O180" s="17" t="str">
        <f>IFERROR(__xludf.DUMMYFUNCTION("""COMPUTED_VALUE"""),"")</f>
        <v/>
      </c>
    </row>
    <row r="181">
      <c r="N181" s="16" t="str">
        <f>IFERROR(__xludf.DUMMYFUNCTION("""COMPUTED_VALUE"""),"")</f>
        <v/>
      </c>
      <c r="O181" s="17" t="str">
        <f>IFERROR(__xludf.DUMMYFUNCTION("""COMPUTED_VALUE"""),"")</f>
        <v/>
      </c>
    </row>
    <row r="182">
      <c r="N182" s="16" t="str">
        <f>IFERROR(__xludf.DUMMYFUNCTION("""COMPUTED_VALUE"""),"")</f>
        <v/>
      </c>
      <c r="O182" s="17" t="str">
        <f>IFERROR(__xludf.DUMMYFUNCTION("""COMPUTED_VALUE"""),"")</f>
        <v/>
      </c>
    </row>
    <row r="183">
      <c r="N183" s="16" t="str">
        <f>IFERROR(__xludf.DUMMYFUNCTION("""COMPUTED_VALUE"""),"")</f>
        <v/>
      </c>
      <c r="O183" s="17" t="str">
        <f>IFERROR(__xludf.DUMMYFUNCTION("""COMPUTED_VALUE"""),"")</f>
        <v/>
      </c>
    </row>
    <row r="184">
      <c r="N184" s="16" t="str">
        <f>IFERROR(__xludf.DUMMYFUNCTION("""COMPUTED_VALUE"""),"")</f>
        <v/>
      </c>
      <c r="O184" s="17" t="str">
        <f>IFERROR(__xludf.DUMMYFUNCTION("""COMPUTED_VALUE"""),"")</f>
        <v/>
      </c>
    </row>
    <row r="185">
      <c r="N185" s="16" t="str">
        <f>IFERROR(__xludf.DUMMYFUNCTION("""COMPUTED_VALUE"""),"")</f>
        <v/>
      </c>
      <c r="O185" s="17" t="str">
        <f>IFERROR(__xludf.DUMMYFUNCTION("""COMPUTED_VALUE"""),"")</f>
        <v/>
      </c>
    </row>
    <row r="186">
      <c r="N186" s="16" t="str">
        <f>IFERROR(__xludf.DUMMYFUNCTION("""COMPUTED_VALUE"""),"")</f>
        <v/>
      </c>
      <c r="O186" s="17" t="str">
        <f>IFERROR(__xludf.DUMMYFUNCTION("""COMPUTED_VALUE"""),"")</f>
        <v/>
      </c>
    </row>
    <row r="187">
      <c r="N187" s="16" t="str">
        <f>IFERROR(__xludf.DUMMYFUNCTION("""COMPUTED_VALUE"""),"")</f>
        <v/>
      </c>
      <c r="O187" s="17" t="str">
        <f>IFERROR(__xludf.DUMMYFUNCTION("""COMPUTED_VALUE"""),"")</f>
        <v/>
      </c>
    </row>
    <row r="188">
      <c r="N188" s="16" t="str">
        <f>IFERROR(__xludf.DUMMYFUNCTION("""COMPUTED_VALUE"""),"")</f>
        <v/>
      </c>
      <c r="O188" s="17" t="str">
        <f>IFERROR(__xludf.DUMMYFUNCTION("""COMPUTED_VALUE"""),"")</f>
        <v/>
      </c>
    </row>
    <row r="189">
      <c r="N189" s="16" t="str">
        <f>IFERROR(__xludf.DUMMYFUNCTION("""COMPUTED_VALUE"""),"")</f>
        <v/>
      </c>
      <c r="O189" s="17" t="str">
        <f>IFERROR(__xludf.DUMMYFUNCTION("""COMPUTED_VALUE"""),"")</f>
        <v/>
      </c>
    </row>
    <row r="190">
      <c r="N190" s="16" t="str">
        <f>IFERROR(__xludf.DUMMYFUNCTION("""COMPUTED_VALUE"""),"")</f>
        <v/>
      </c>
      <c r="O190" s="17" t="str">
        <f>IFERROR(__xludf.DUMMYFUNCTION("""COMPUTED_VALUE"""),"")</f>
        <v/>
      </c>
    </row>
    <row r="191">
      <c r="N191" s="16" t="str">
        <f>IFERROR(__xludf.DUMMYFUNCTION("""COMPUTED_VALUE"""),"")</f>
        <v/>
      </c>
      <c r="O191" s="17" t="str">
        <f>IFERROR(__xludf.DUMMYFUNCTION("""COMPUTED_VALUE"""),"")</f>
        <v/>
      </c>
    </row>
    <row r="192">
      <c r="N192" s="16" t="str">
        <f>IFERROR(__xludf.DUMMYFUNCTION("""COMPUTED_VALUE"""),"")</f>
        <v/>
      </c>
      <c r="O192" s="17" t="str">
        <f>IFERROR(__xludf.DUMMYFUNCTION("""COMPUTED_VALUE"""),"")</f>
        <v/>
      </c>
    </row>
    <row r="193">
      <c r="N193" s="16" t="str">
        <f>IFERROR(__xludf.DUMMYFUNCTION("""COMPUTED_VALUE"""),"")</f>
        <v/>
      </c>
      <c r="O193" s="17" t="str">
        <f>IFERROR(__xludf.DUMMYFUNCTION("""COMPUTED_VALUE"""),"")</f>
        <v/>
      </c>
    </row>
    <row r="194">
      <c r="N194" s="16" t="str">
        <f>IFERROR(__xludf.DUMMYFUNCTION("""COMPUTED_VALUE"""),"")</f>
        <v/>
      </c>
      <c r="O194" s="17" t="str">
        <f>IFERROR(__xludf.DUMMYFUNCTION("""COMPUTED_VALUE"""),"")</f>
        <v/>
      </c>
    </row>
    <row r="195">
      <c r="N195" s="16" t="str">
        <f>IFERROR(__xludf.DUMMYFUNCTION("""COMPUTED_VALUE"""),"")</f>
        <v/>
      </c>
      <c r="O195" s="17" t="str">
        <f>IFERROR(__xludf.DUMMYFUNCTION("""COMPUTED_VALUE"""),"")</f>
        <v/>
      </c>
    </row>
    <row r="196">
      <c r="N196" s="16" t="str">
        <f>IFERROR(__xludf.DUMMYFUNCTION("""COMPUTED_VALUE"""),"")</f>
        <v/>
      </c>
      <c r="O196" s="17" t="str">
        <f>IFERROR(__xludf.DUMMYFUNCTION("""COMPUTED_VALUE"""),"")</f>
        <v/>
      </c>
    </row>
    <row r="197">
      <c r="N197" s="16" t="str">
        <f>IFERROR(__xludf.DUMMYFUNCTION("""COMPUTED_VALUE"""),"")</f>
        <v/>
      </c>
      <c r="O197" s="17" t="str">
        <f>IFERROR(__xludf.DUMMYFUNCTION("""COMPUTED_VALUE"""),"")</f>
        <v/>
      </c>
    </row>
    <row r="198">
      <c r="N198" s="16" t="str">
        <f>IFERROR(__xludf.DUMMYFUNCTION("""COMPUTED_VALUE"""),"")</f>
        <v/>
      </c>
      <c r="O198" s="17" t="str">
        <f>IFERROR(__xludf.DUMMYFUNCTION("""COMPUTED_VALUE"""),"")</f>
        <v/>
      </c>
    </row>
    <row r="199">
      <c r="N199" s="16" t="str">
        <f>IFERROR(__xludf.DUMMYFUNCTION("""COMPUTED_VALUE"""),"")</f>
        <v/>
      </c>
      <c r="O199" s="17" t="str">
        <f>IFERROR(__xludf.DUMMYFUNCTION("""COMPUTED_VALUE"""),"")</f>
        <v/>
      </c>
    </row>
    <row r="200">
      <c r="N200" s="16" t="str">
        <f>IFERROR(__xludf.DUMMYFUNCTION("""COMPUTED_VALUE"""),"")</f>
        <v/>
      </c>
      <c r="O200" s="17" t="str">
        <f>IFERROR(__xludf.DUMMYFUNCTION("""COMPUTED_VALUE"""),"")</f>
        <v/>
      </c>
    </row>
    <row r="201">
      <c r="N201" s="16" t="str">
        <f>IFERROR(__xludf.DUMMYFUNCTION("""COMPUTED_VALUE"""),"")</f>
        <v/>
      </c>
      <c r="O201" s="17" t="str">
        <f>IFERROR(__xludf.DUMMYFUNCTION("""COMPUTED_VALUE"""),"")</f>
        <v/>
      </c>
    </row>
    <row r="202">
      <c r="N202" s="16" t="str">
        <f>IFERROR(__xludf.DUMMYFUNCTION("""COMPUTED_VALUE"""),"")</f>
        <v/>
      </c>
      <c r="O202" s="17" t="str">
        <f>IFERROR(__xludf.DUMMYFUNCTION("""COMPUTED_VALUE"""),"")</f>
        <v/>
      </c>
    </row>
    <row r="203">
      <c r="N203" s="16" t="str">
        <f>IFERROR(__xludf.DUMMYFUNCTION("""COMPUTED_VALUE"""),"")</f>
        <v/>
      </c>
      <c r="O203" s="17" t="str">
        <f>IFERROR(__xludf.DUMMYFUNCTION("""COMPUTED_VALUE"""),"")</f>
        <v/>
      </c>
    </row>
    <row r="204">
      <c r="N204" s="16" t="str">
        <f>IFERROR(__xludf.DUMMYFUNCTION("""COMPUTED_VALUE"""),"")</f>
        <v/>
      </c>
      <c r="O204" s="17" t="str">
        <f>IFERROR(__xludf.DUMMYFUNCTION("""COMPUTED_VALUE"""),"")</f>
        <v/>
      </c>
    </row>
    <row r="205">
      <c r="N205" s="16" t="str">
        <f>IFERROR(__xludf.DUMMYFUNCTION("""COMPUTED_VALUE"""),"")</f>
        <v/>
      </c>
      <c r="O205" s="17" t="str">
        <f>IFERROR(__xludf.DUMMYFUNCTION("""COMPUTED_VALUE"""),"")</f>
        <v/>
      </c>
    </row>
    <row r="206">
      <c r="N206" s="16" t="str">
        <f>IFERROR(__xludf.DUMMYFUNCTION("""COMPUTED_VALUE"""),"")</f>
        <v/>
      </c>
      <c r="O206" s="17" t="str">
        <f>IFERROR(__xludf.DUMMYFUNCTION("""COMPUTED_VALUE"""),"")</f>
        <v/>
      </c>
    </row>
    <row r="207">
      <c r="N207" s="16" t="str">
        <f>IFERROR(__xludf.DUMMYFUNCTION("""COMPUTED_VALUE"""),"")</f>
        <v/>
      </c>
      <c r="O207" s="17" t="str">
        <f>IFERROR(__xludf.DUMMYFUNCTION("""COMPUTED_VALUE"""),"")</f>
        <v/>
      </c>
    </row>
    <row r="208">
      <c r="N208" s="16" t="str">
        <f>IFERROR(__xludf.DUMMYFUNCTION("""COMPUTED_VALUE"""),"")</f>
        <v/>
      </c>
      <c r="O208" s="17" t="str">
        <f>IFERROR(__xludf.DUMMYFUNCTION("""COMPUTED_VALUE"""),"")</f>
        <v/>
      </c>
    </row>
    <row r="209">
      <c r="N209" s="16" t="str">
        <f>IFERROR(__xludf.DUMMYFUNCTION("""COMPUTED_VALUE"""),"")</f>
        <v/>
      </c>
      <c r="O209" s="17" t="str">
        <f>IFERROR(__xludf.DUMMYFUNCTION("""COMPUTED_VALUE"""),"")</f>
        <v/>
      </c>
    </row>
    <row r="210">
      <c r="N210" s="16" t="str">
        <f>IFERROR(__xludf.DUMMYFUNCTION("""COMPUTED_VALUE"""),"")</f>
        <v/>
      </c>
      <c r="O210" s="17" t="str">
        <f>IFERROR(__xludf.DUMMYFUNCTION("""COMPUTED_VALUE"""),"")</f>
        <v/>
      </c>
    </row>
    <row r="211">
      <c r="N211" s="16" t="str">
        <f>IFERROR(__xludf.DUMMYFUNCTION("""COMPUTED_VALUE"""),"")</f>
        <v/>
      </c>
      <c r="O211" s="17" t="str">
        <f>IFERROR(__xludf.DUMMYFUNCTION("""COMPUTED_VALUE"""),"")</f>
        <v/>
      </c>
    </row>
    <row r="212">
      <c r="N212" s="16" t="str">
        <f>IFERROR(__xludf.DUMMYFUNCTION("""COMPUTED_VALUE"""),"")</f>
        <v/>
      </c>
      <c r="O212" s="17" t="str">
        <f>IFERROR(__xludf.DUMMYFUNCTION("""COMPUTED_VALUE"""),"")</f>
        <v/>
      </c>
    </row>
    <row r="213">
      <c r="N213" s="16" t="str">
        <f>IFERROR(__xludf.DUMMYFUNCTION("""COMPUTED_VALUE"""),"")</f>
        <v/>
      </c>
      <c r="O213" s="17" t="str">
        <f>IFERROR(__xludf.DUMMYFUNCTION("""COMPUTED_VALUE"""),"")</f>
        <v/>
      </c>
    </row>
    <row r="214">
      <c r="N214" s="16" t="str">
        <f>IFERROR(__xludf.DUMMYFUNCTION("""COMPUTED_VALUE"""),"")</f>
        <v/>
      </c>
      <c r="O214" s="17" t="str">
        <f>IFERROR(__xludf.DUMMYFUNCTION("""COMPUTED_VALUE"""),"")</f>
        <v/>
      </c>
    </row>
    <row r="215">
      <c r="N215" s="16" t="str">
        <f>IFERROR(__xludf.DUMMYFUNCTION("""COMPUTED_VALUE"""),"")</f>
        <v/>
      </c>
      <c r="O215" s="17" t="str">
        <f>IFERROR(__xludf.DUMMYFUNCTION("""COMPUTED_VALUE"""),"")</f>
        <v/>
      </c>
    </row>
    <row r="216">
      <c r="N216" s="16" t="str">
        <f>IFERROR(__xludf.DUMMYFUNCTION("""COMPUTED_VALUE"""),"")</f>
        <v/>
      </c>
      <c r="O216" s="17" t="str">
        <f>IFERROR(__xludf.DUMMYFUNCTION("""COMPUTED_VALUE"""),"")</f>
        <v/>
      </c>
    </row>
    <row r="217">
      <c r="N217" s="16" t="str">
        <f>IFERROR(__xludf.DUMMYFUNCTION("""COMPUTED_VALUE"""),"")</f>
        <v/>
      </c>
      <c r="O217" s="17" t="str">
        <f>IFERROR(__xludf.DUMMYFUNCTION("""COMPUTED_VALUE"""),"")</f>
        <v/>
      </c>
    </row>
    <row r="218">
      <c r="N218" s="16" t="str">
        <f>IFERROR(__xludf.DUMMYFUNCTION("""COMPUTED_VALUE"""),"")</f>
        <v/>
      </c>
      <c r="O218" s="17" t="str">
        <f>IFERROR(__xludf.DUMMYFUNCTION("""COMPUTED_VALUE"""),"")</f>
        <v/>
      </c>
    </row>
    <row r="219">
      <c r="N219" s="16" t="str">
        <f>IFERROR(__xludf.DUMMYFUNCTION("""COMPUTED_VALUE"""),"")</f>
        <v/>
      </c>
      <c r="O219" s="17" t="str">
        <f>IFERROR(__xludf.DUMMYFUNCTION("""COMPUTED_VALUE"""),"")</f>
        <v/>
      </c>
    </row>
    <row r="220">
      <c r="N220" s="16" t="str">
        <f>IFERROR(__xludf.DUMMYFUNCTION("""COMPUTED_VALUE"""),"")</f>
        <v/>
      </c>
      <c r="O220" s="17" t="str">
        <f>IFERROR(__xludf.DUMMYFUNCTION("""COMPUTED_VALUE"""),"")</f>
        <v/>
      </c>
    </row>
    <row r="221">
      <c r="N221" s="16" t="str">
        <f>IFERROR(__xludf.DUMMYFUNCTION("""COMPUTED_VALUE"""),"")</f>
        <v/>
      </c>
      <c r="O221" s="17" t="str">
        <f>IFERROR(__xludf.DUMMYFUNCTION("""COMPUTED_VALUE"""),"")</f>
        <v/>
      </c>
    </row>
    <row r="222">
      <c r="N222" s="16" t="str">
        <f>IFERROR(__xludf.DUMMYFUNCTION("""COMPUTED_VALUE"""),"")</f>
        <v/>
      </c>
      <c r="O222" s="17" t="str">
        <f>IFERROR(__xludf.DUMMYFUNCTION("""COMPUTED_VALUE"""),"")</f>
        <v/>
      </c>
    </row>
    <row r="223">
      <c r="N223" s="16" t="str">
        <f>IFERROR(__xludf.DUMMYFUNCTION("""COMPUTED_VALUE"""),"")</f>
        <v/>
      </c>
      <c r="O223" s="17" t="str">
        <f>IFERROR(__xludf.DUMMYFUNCTION("""COMPUTED_VALUE"""),"")</f>
        <v/>
      </c>
    </row>
    <row r="224">
      <c r="N224" s="16" t="str">
        <f>IFERROR(__xludf.DUMMYFUNCTION("""COMPUTED_VALUE"""),"")</f>
        <v/>
      </c>
      <c r="O224" s="17" t="str">
        <f>IFERROR(__xludf.DUMMYFUNCTION("""COMPUTED_VALUE"""),"")</f>
        <v/>
      </c>
    </row>
    <row r="225">
      <c r="N225" s="16" t="str">
        <f>IFERROR(__xludf.DUMMYFUNCTION("""COMPUTED_VALUE"""),"")</f>
        <v/>
      </c>
      <c r="O225" s="17" t="str">
        <f>IFERROR(__xludf.DUMMYFUNCTION("""COMPUTED_VALUE"""),"")</f>
        <v/>
      </c>
    </row>
    <row r="226">
      <c r="N226" s="16" t="str">
        <f>IFERROR(__xludf.DUMMYFUNCTION("""COMPUTED_VALUE"""),"")</f>
        <v/>
      </c>
      <c r="O226" s="17" t="str">
        <f>IFERROR(__xludf.DUMMYFUNCTION("""COMPUTED_VALUE"""),"")</f>
        <v/>
      </c>
    </row>
    <row r="227">
      <c r="N227" s="16" t="str">
        <f>IFERROR(__xludf.DUMMYFUNCTION("""COMPUTED_VALUE"""),"")</f>
        <v/>
      </c>
      <c r="O227" s="17" t="str">
        <f>IFERROR(__xludf.DUMMYFUNCTION("""COMPUTED_VALUE"""),"")</f>
        <v/>
      </c>
    </row>
    <row r="228">
      <c r="N228" s="16" t="str">
        <f>IFERROR(__xludf.DUMMYFUNCTION("""COMPUTED_VALUE"""),"")</f>
        <v/>
      </c>
      <c r="O228" s="17" t="str">
        <f>IFERROR(__xludf.DUMMYFUNCTION("""COMPUTED_VALUE"""),"")</f>
        <v/>
      </c>
    </row>
    <row r="229">
      <c r="N229" s="16" t="str">
        <f>IFERROR(__xludf.DUMMYFUNCTION("""COMPUTED_VALUE"""),"")</f>
        <v/>
      </c>
      <c r="O229" s="17" t="str">
        <f>IFERROR(__xludf.DUMMYFUNCTION("""COMPUTED_VALUE"""),"")</f>
        <v/>
      </c>
    </row>
    <row r="230">
      <c r="N230" s="16" t="str">
        <f>IFERROR(__xludf.DUMMYFUNCTION("""COMPUTED_VALUE"""),"")</f>
        <v/>
      </c>
      <c r="O230" s="17" t="str">
        <f>IFERROR(__xludf.DUMMYFUNCTION("""COMPUTED_VALUE"""),"")</f>
        <v/>
      </c>
    </row>
    <row r="231">
      <c r="N231" s="16" t="str">
        <f>IFERROR(__xludf.DUMMYFUNCTION("""COMPUTED_VALUE"""),"")</f>
        <v/>
      </c>
      <c r="O231" s="17" t="str">
        <f>IFERROR(__xludf.DUMMYFUNCTION("""COMPUTED_VALUE"""),"")</f>
        <v/>
      </c>
    </row>
    <row r="232">
      <c r="N232" s="16" t="str">
        <f>IFERROR(__xludf.DUMMYFUNCTION("""COMPUTED_VALUE"""),"")</f>
        <v/>
      </c>
      <c r="O232" s="17" t="str">
        <f>IFERROR(__xludf.DUMMYFUNCTION("""COMPUTED_VALUE"""),"")</f>
        <v/>
      </c>
    </row>
    <row r="233">
      <c r="N233" s="16" t="str">
        <f>IFERROR(__xludf.DUMMYFUNCTION("""COMPUTED_VALUE"""),"")</f>
        <v/>
      </c>
      <c r="O233" s="17" t="str">
        <f>IFERROR(__xludf.DUMMYFUNCTION("""COMPUTED_VALUE"""),"")</f>
        <v/>
      </c>
    </row>
    <row r="234">
      <c r="N234" s="16" t="str">
        <f>IFERROR(__xludf.DUMMYFUNCTION("""COMPUTED_VALUE"""),"")</f>
        <v/>
      </c>
      <c r="O234" s="17" t="str">
        <f>IFERROR(__xludf.DUMMYFUNCTION("""COMPUTED_VALUE"""),"")</f>
        <v/>
      </c>
    </row>
    <row r="235">
      <c r="N235" s="16" t="str">
        <f>IFERROR(__xludf.DUMMYFUNCTION("""COMPUTED_VALUE"""),"")</f>
        <v/>
      </c>
      <c r="O235" s="17" t="str">
        <f>IFERROR(__xludf.DUMMYFUNCTION("""COMPUTED_VALUE"""),"")</f>
        <v/>
      </c>
    </row>
    <row r="236">
      <c r="N236" s="16" t="str">
        <f>IFERROR(__xludf.DUMMYFUNCTION("""COMPUTED_VALUE"""),"")</f>
        <v/>
      </c>
      <c r="O236" s="17" t="str">
        <f>IFERROR(__xludf.DUMMYFUNCTION("""COMPUTED_VALUE"""),"")</f>
        <v/>
      </c>
    </row>
    <row r="237">
      <c r="N237" s="16" t="str">
        <f>IFERROR(__xludf.DUMMYFUNCTION("""COMPUTED_VALUE"""),"")</f>
        <v/>
      </c>
      <c r="O237" s="17" t="str">
        <f>IFERROR(__xludf.DUMMYFUNCTION("""COMPUTED_VALUE"""),"")</f>
        <v/>
      </c>
    </row>
    <row r="238">
      <c r="N238" s="16" t="str">
        <f>IFERROR(__xludf.DUMMYFUNCTION("""COMPUTED_VALUE"""),"")</f>
        <v/>
      </c>
      <c r="O238" s="17" t="str">
        <f>IFERROR(__xludf.DUMMYFUNCTION("""COMPUTED_VALUE"""),"")</f>
        <v/>
      </c>
    </row>
    <row r="239">
      <c r="N239" s="16" t="str">
        <f>IFERROR(__xludf.DUMMYFUNCTION("""COMPUTED_VALUE"""),"")</f>
        <v/>
      </c>
      <c r="O239" s="17" t="str">
        <f>IFERROR(__xludf.DUMMYFUNCTION("""COMPUTED_VALUE"""),"")</f>
        <v/>
      </c>
    </row>
    <row r="240">
      <c r="N240" s="16" t="str">
        <f>IFERROR(__xludf.DUMMYFUNCTION("""COMPUTED_VALUE"""),"")</f>
        <v/>
      </c>
      <c r="O240" s="17" t="str">
        <f>IFERROR(__xludf.DUMMYFUNCTION("""COMPUTED_VALUE"""),"")</f>
        <v/>
      </c>
    </row>
    <row r="241">
      <c r="N241" s="16" t="str">
        <f>IFERROR(__xludf.DUMMYFUNCTION("""COMPUTED_VALUE"""),"")</f>
        <v/>
      </c>
      <c r="O241" s="17" t="str">
        <f>IFERROR(__xludf.DUMMYFUNCTION("""COMPUTED_VALUE"""),"")</f>
        <v/>
      </c>
    </row>
    <row r="242">
      <c r="N242" s="16" t="str">
        <f>IFERROR(__xludf.DUMMYFUNCTION("""COMPUTED_VALUE"""),"")</f>
        <v/>
      </c>
      <c r="O242" s="17" t="str">
        <f>IFERROR(__xludf.DUMMYFUNCTION("""COMPUTED_VALUE"""),"")</f>
        <v/>
      </c>
    </row>
    <row r="243">
      <c r="N243" s="16" t="str">
        <f>IFERROR(__xludf.DUMMYFUNCTION("""COMPUTED_VALUE"""),"")</f>
        <v/>
      </c>
      <c r="O243" s="17" t="str">
        <f>IFERROR(__xludf.DUMMYFUNCTION("""COMPUTED_VALUE"""),"")</f>
        <v/>
      </c>
    </row>
    <row r="244">
      <c r="N244" s="16" t="str">
        <f>IFERROR(__xludf.DUMMYFUNCTION("""COMPUTED_VALUE"""),"")</f>
        <v/>
      </c>
      <c r="O244" s="17" t="str">
        <f>IFERROR(__xludf.DUMMYFUNCTION("""COMPUTED_VALUE"""),"")</f>
        <v/>
      </c>
    </row>
    <row r="245">
      <c r="N245" s="16" t="str">
        <f>IFERROR(__xludf.DUMMYFUNCTION("""COMPUTED_VALUE"""),"")</f>
        <v/>
      </c>
      <c r="O245" s="17" t="str">
        <f>IFERROR(__xludf.DUMMYFUNCTION("""COMPUTED_VALUE"""),"")</f>
        <v/>
      </c>
    </row>
    <row r="246">
      <c r="N246" s="16" t="str">
        <f>IFERROR(__xludf.DUMMYFUNCTION("""COMPUTED_VALUE"""),"")</f>
        <v/>
      </c>
      <c r="O246" s="17" t="str">
        <f>IFERROR(__xludf.DUMMYFUNCTION("""COMPUTED_VALUE"""),"")</f>
        <v/>
      </c>
    </row>
    <row r="247">
      <c r="N247" s="16" t="str">
        <f>IFERROR(__xludf.DUMMYFUNCTION("""COMPUTED_VALUE"""),"")</f>
        <v/>
      </c>
      <c r="O247" s="17" t="str">
        <f>IFERROR(__xludf.DUMMYFUNCTION("""COMPUTED_VALUE"""),"")</f>
        <v/>
      </c>
    </row>
    <row r="248">
      <c r="N248" s="16" t="str">
        <f>IFERROR(__xludf.DUMMYFUNCTION("""COMPUTED_VALUE"""),"")</f>
        <v/>
      </c>
      <c r="O248" s="17" t="str">
        <f>IFERROR(__xludf.DUMMYFUNCTION("""COMPUTED_VALUE"""),"")</f>
        <v/>
      </c>
    </row>
    <row r="249">
      <c r="N249" s="16" t="str">
        <f>IFERROR(__xludf.DUMMYFUNCTION("""COMPUTED_VALUE"""),"")</f>
        <v/>
      </c>
      <c r="O249" s="17" t="str">
        <f>IFERROR(__xludf.DUMMYFUNCTION("""COMPUTED_VALUE"""),"")</f>
        <v/>
      </c>
    </row>
    <row r="250">
      <c r="N250" s="16" t="str">
        <f>IFERROR(__xludf.DUMMYFUNCTION("""COMPUTED_VALUE"""),"")</f>
        <v/>
      </c>
      <c r="O250" s="17" t="str">
        <f>IFERROR(__xludf.DUMMYFUNCTION("""COMPUTED_VALUE"""),"")</f>
        <v/>
      </c>
    </row>
    <row r="251">
      <c r="N251" s="16" t="str">
        <f>IFERROR(__xludf.DUMMYFUNCTION("""COMPUTED_VALUE"""),"")</f>
        <v/>
      </c>
      <c r="O251" s="17" t="str">
        <f>IFERROR(__xludf.DUMMYFUNCTION("""COMPUTED_VALUE"""),"")</f>
        <v/>
      </c>
    </row>
    <row r="252">
      <c r="N252" s="16" t="str">
        <f>IFERROR(__xludf.DUMMYFUNCTION("""COMPUTED_VALUE"""),"")</f>
        <v/>
      </c>
      <c r="O252" s="17" t="str">
        <f>IFERROR(__xludf.DUMMYFUNCTION("""COMPUTED_VALUE"""),"")</f>
        <v/>
      </c>
    </row>
    <row r="253">
      <c r="N253" s="16" t="str">
        <f>IFERROR(__xludf.DUMMYFUNCTION("""COMPUTED_VALUE"""),"")</f>
        <v/>
      </c>
      <c r="O253" s="17" t="str">
        <f>IFERROR(__xludf.DUMMYFUNCTION("""COMPUTED_VALUE"""),"")</f>
        <v/>
      </c>
    </row>
    <row r="254">
      <c r="N254" s="16" t="str">
        <f>IFERROR(__xludf.DUMMYFUNCTION("""COMPUTED_VALUE"""),"")</f>
        <v/>
      </c>
      <c r="O254" s="17" t="str">
        <f>IFERROR(__xludf.DUMMYFUNCTION("""COMPUTED_VALUE"""),"")</f>
        <v/>
      </c>
    </row>
    <row r="255">
      <c r="N255" s="16" t="str">
        <f>IFERROR(__xludf.DUMMYFUNCTION("""COMPUTED_VALUE"""),"")</f>
        <v/>
      </c>
      <c r="O255" s="17" t="str">
        <f>IFERROR(__xludf.DUMMYFUNCTION("""COMPUTED_VALUE"""),"")</f>
        <v/>
      </c>
    </row>
    <row r="256">
      <c r="N256" s="16" t="str">
        <f>IFERROR(__xludf.DUMMYFUNCTION("""COMPUTED_VALUE"""),"")</f>
        <v/>
      </c>
      <c r="O256" s="17" t="str">
        <f>IFERROR(__xludf.DUMMYFUNCTION("""COMPUTED_VALUE"""),"")</f>
        <v/>
      </c>
    </row>
    <row r="257">
      <c r="N257" s="16" t="str">
        <f>IFERROR(__xludf.DUMMYFUNCTION("""COMPUTED_VALUE"""),"")</f>
        <v/>
      </c>
      <c r="O257" s="17" t="str">
        <f>IFERROR(__xludf.DUMMYFUNCTION("""COMPUTED_VALUE"""),"")</f>
        <v/>
      </c>
    </row>
    <row r="258">
      <c r="N258" s="16" t="str">
        <f>IFERROR(__xludf.DUMMYFUNCTION("""COMPUTED_VALUE"""),"")</f>
        <v/>
      </c>
      <c r="O258" s="17" t="str">
        <f>IFERROR(__xludf.DUMMYFUNCTION("""COMPUTED_VALUE"""),"")</f>
        <v/>
      </c>
    </row>
    <row r="259">
      <c r="N259" s="16" t="str">
        <f>IFERROR(__xludf.DUMMYFUNCTION("""COMPUTED_VALUE"""),"")</f>
        <v/>
      </c>
      <c r="O259" s="17" t="str">
        <f>IFERROR(__xludf.DUMMYFUNCTION("""COMPUTED_VALUE"""),"")</f>
        <v/>
      </c>
    </row>
    <row r="260">
      <c r="N260" s="16" t="str">
        <f>IFERROR(__xludf.DUMMYFUNCTION("""COMPUTED_VALUE"""),"")</f>
        <v/>
      </c>
      <c r="O260" s="17" t="str">
        <f>IFERROR(__xludf.DUMMYFUNCTION("""COMPUTED_VALUE"""),"")</f>
        <v/>
      </c>
    </row>
    <row r="261">
      <c r="N261" s="16" t="str">
        <f>IFERROR(__xludf.DUMMYFUNCTION("""COMPUTED_VALUE"""),"")</f>
        <v/>
      </c>
      <c r="O261" s="17" t="str">
        <f>IFERROR(__xludf.DUMMYFUNCTION("""COMPUTED_VALUE"""),"")</f>
        <v/>
      </c>
    </row>
  </sheetData>
  <dataValidations>
    <dataValidation type="custom" allowBlank="1" showDropDown="1" sqref="N2:N161">
      <formula1>AND(ISNUMBER(N2),(NOT(OR(NOT(ISERROR(DATEVALUE(N2))), AND(ISNUMBER(N2), LEFT(CELL("format", N2))="D")))))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" t="str">
        <f>IFERROR(__xludf.DUMMYFUNCTION("QUERY('Respuestas de formulario 1'!A:Z,
""select B, sum(M)
where B is not null
group by B
order by B
label B 'Fecha', sum(M) 'Total huevos'"",1)"),"Fecha")</f>
        <v>Fecha</v>
      </c>
      <c r="B1" s="17" t="str">
        <f>IFERROR(__xludf.DUMMYFUNCTION("""COMPUTED_VALUE"""),"Total huevos")</f>
        <v>Total huevos</v>
      </c>
    </row>
    <row r="2">
      <c r="A2" s="18">
        <f>IFERROR(__xludf.DUMMYFUNCTION("""COMPUTED_VALUE"""),45869.0)</f>
        <v>45869</v>
      </c>
      <c r="B2" s="17">
        <f>IFERROR(__xludf.DUMMYFUNCTION("""COMPUTED_VALUE"""),1235.4)</f>
        <v>1235.4</v>
      </c>
    </row>
    <row r="3">
      <c r="A3" s="18">
        <f>IFERROR(__xludf.DUMMYFUNCTION("""COMPUTED_VALUE"""),45870.0)</f>
        <v>45870</v>
      </c>
      <c r="B3" s="17">
        <f>IFERROR(__xludf.DUMMYFUNCTION("""COMPUTED_VALUE"""),897.5000000000001)</f>
        <v>897.5</v>
      </c>
    </row>
    <row r="4">
      <c r="A4" s="18">
        <f>IFERROR(__xludf.DUMMYFUNCTION("""COMPUTED_VALUE"""),45871.0)</f>
        <v>45871</v>
      </c>
      <c r="B4" s="17">
        <f>IFERROR(__xludf.DUMMYFUNCTION("""COMPUTED_VALUE"""),729.7)</f>
        <v>729.7</v>
      </c>
    </row>
    <row r="5">
      <c r="A5" s="18">
        <f>IFERROR(__xludf.DUMMYFUNCTION("""COMPUTED_VALUE"""),45873.0)</f>
        <v>45873</v>
      </c>
      <c r="B5" s="17">
        <f>IFERROR(__xludf.DUMMYFUNCTION("""COMPUTED_VALUE"""),998.2)</f>
        <v>998.2</v>
      </c>
    </row>
    <row r="6">
      <c r="A6" s="18">
        <f>IFERROR(__xludf.DUMMYFUNCTION("""COMPUTED_VALUE"""),45874.0)</f>
        <v>45874</v>
      </c>
      <c r="B6" s="17">
        <f>IFERROR(__xludf.DUMMYFUNCTION("""COMPUTED_VALUE"""),944.0)</f>
        <v>944</v>
      </c>
    </row>
    <row r="7">
      <c r="A7" s="18">
        <f>IFERROR(__xludf.DUMMYFUNCTION("""COMPUTED_VALUE"""),45875.0)</f>
        <v>45875</v>
      </c>
      <c r="B7" s="17">
        <f>IFERROR(__xludf.DUMMYFUNCTION("""COMPUTED_VALUE"""),982.0)</f>
        <v>982</v>
      </c>
    </row>
    <row r="8">
      <c r="A8" s="18">
        <f>IFERROR(__xludf.DUMMYFUNCTION("""COMPUTED_VALUE"""),45876.0)</f>
        <v>45876</v>
      </c>
      <c r="B8" s="17">
        <f>IFERROR(__xludf.DUMMYFUNCTION("""COMPUTED_VALUE"""),1102.4)</f>
        <v>1102.4</v>
      </c>
    </row>
    <row r="9">
      <c r="A9" s="18">
        <f>IFERROR(__xludf.DUMMYFUNCTION("""COMPUTED_VALUE"""),45877.0)</f>
        <v>45877</v>
      </c>
      <c r="B9" s="17">
        <f>IFERROR(__xludf.DUMMYFUNCTION("""COMPUTED_VALUE"""),869.4000000000001)</f>
        <v>869.4</v>
      </c>
    </row>
    <row r="10">
      <c r="A10" s="18">
        <f>IFERROR(__xludf.DUMMYFUNCTION("""COMPUTED_VALUE"""),45878.0)</f>
        <v>45878</v>
      </c>
      <c r="B10" s="17">
        <f>IFERROR(__xludf.DUMMYFUNCTION("""COMPUTED_VALUE"""),572.5)</f>
        <v>572.5</v>
      </c>
    </row>
    <row r="11">
      <c r="A11" s="18">
        <f>IFERROR(__xludf.DUMMYFUNCTION("""COMPUTED_VALUE"""),45880.0)</f>
        <v>45880</v>
      </c>
      <c r="B11" s="17">
        <f>IFERROR(__xludf.DUMMYFUNCTION("""COMPUTED_VALUE"""),895.3)</f>
        <v>895.3</v>
      </c>
    </row>
    <row r="12">
      <c r="A12" s="18">
        <f>IFERROR(__xludf.DUMMYFUNCTION("""COMPUTED_VALUE"""),45881.0)</f>
        <v>45881</v>
      </c>
      <c r="B12" s="17">
        <f>IFERROR(__xludf.DUMMYFUNCTION("""COMPUTED_VALUE"""),1015.5000000000001)</f>
        <v>1015.5</v>
      </c>
    </row>
    <row r="13">
      <c r="A13" s="18">
        <f>IFERROR(__xludf.DUMMYFUNCTION("""COMPUTED_VALUE"""),45882.0)</f>
        <v>45882</v>
      </c>
      <c r="B13" s="17">
        <f>IFERROR(__xludf.DUMMYFUNCTION("""COMPUTED_VALUE"""),938.3000000000001)</f>
        <v>938.3</v>
      </c>
    </row>
    <row r="14">
      <c r="A14" s="18">
        <f>IFERROR(__xludf.DUMMYFUNCTION("""COMPUTED_VALUE"""),45883.0)</f>
        <v>45883</v>
      </c>
      <c r="B14" s="17">
        <f>IFERROR(__xludf.DUMMYFUNCTION("""COMPUTED_VALUE"""),951.0)</f>
        <v>951</v>
      </c>
    </row>
    <row r="15">
      <c r="A15" s="18">
        <f>IFERROR(__xludf.DUMMYFUNCTION("""COMPUTED_VALUE"""),45884.0)</f>
        <v>45884</v>
      </c>
      <c r="B15" s="17">
        <f>IFERROR(__xludf.DUMMYFUNCTION("""COMPUTED_VALUE"""),736.7)</f>
        <v>736.7</v>
      </c>
    </row>
    <row r="16">
      <c r="A16" s="18">
        <f>IFERROR(__xludf.DUMMYFUNCTION("""COMPUTED_VALUE"""),45885.0)</f>
        <v>45885</v>
      </c>
      <c r="B16" s="17">
        <f>IFERROR(__xludf.DUMMYFUNCTION("""COMPUTED_VALUE"""),723.0)</f>
        <v>723</v>
      </c>
    </row>
    <row r="17">
      <c r="A17" s="18">
        <f>IFERROR(__xludf.DUMMYFUNCTION("""COMPUTED_VALUE"""),45887.0)</f>
        <v>45887</v>
      </c>
      <c r="B17" s="17">
        <f>IFERROR(__xludf.DUMMYFUNCTION("""COMPUTED_VALUE"""),745.3)</f>
        <v>745.3</v>
      </c>
    </row>
    <row r="18">
      <c r="A18" s="18">
        <f>IFERROR(__xludf.DUMMYFUNCTION("""COMPUTED_VALUE"""),45888.0)</f>
        <v>45888</v>
      </c>
      <c r="B18" s="17">
        <f>IFERROR(__xludf.DUMMYFUNCTION("""COMPUTED_VALUE"""),782.2)</f>
        <v>782.2</v>
      </c>
    </row>
    <row r="19">
      <c r="A19" s="18">
        <f>IFERROR(__xludf.DUMMYFUNCTION("""COMPUTED_VALUE"""),45889.0)</f>
        <v>45889</v>
      </c>
      <c r="B19" s="17">
        <f>IFERROR(__xludf.DUMMYFUNCTION("""COMPUTED_VALUE"""),578.0)</f>
        <v>578</v>
      </c>
    </row>
    <row r="20">
      <c r="A20" s="18">
        <f>IFERROR(__xludf.DUMMYFUNCTION("""COMPUTED_VALUE"""),45890.0)</f>
        <v>45890</v>
      </c>
      <c r="B20" s="17">
        <f>IFERROR(__xludf.DUMMYFUNCTION("""COMPUTED_VALUE"""),1302.0)</f>
        <v>1302</v>
      </c>
    </row>
    <row r="21">
      <c r="A21" s="18">
        <f>IFERROR(__xludf.DUMMYFUNCTION("""COMPUTED_VALUE"""),45891.0)</f>
        <v>45891</v>
      </c>
      <c r="B21" s="17">
        <f>IFERROR(__xludf.DUMMYFUNCTION("""COMPUTED_VALUE"""),759.2)</f>
        <v>759.2</v>
      </c>
    </row>
    <row r="22">
      <c r="A22" s="18">
        <f>IFERROR(__xludf.DUMMYFUNCTION("""COMPUTED_VALUE"""),45892.0)</f>
        <v>45892</v>
      </c>
      <c r="B22" s="17">
        <f>IFERROR(__xludf.DUMMYFUNCTION("""COMPUTED_VALUE"""),555.1)</f>
        <v>555.1</v>
      </c>
    </row>
    <row r="23">
      <c r="A23" s="18">
        <f>IFERROR(__xludf.DUMMYFUNCTION("""COMPUTED_VALUE"""),45894.0)</f>
        <v>45894</v>
      </c>
      <c r="B23" s="17">
        <f>IFERROR(__xludf.DUMMYFUNCTION("""COMPUTED_VALUE"""),1160.3)</f>
        <v>1160.3</v>
      </c>
    </row>
    <row r="24">
      <c r="A24" s="18">
        <f>IFERROR(__xludf.DUMMYFUNCTION("""COMPUTED_VALUE"""),45895.0)</f>
        <v>45895</v>
      </c>
      <c r="B24" s="17">
        <f>IFERROR(__xludf.DUMMYFUNCTION("""COMPUTED_VALUE"""),822.1)</f>
        <v>822.1</v>
      </c>
    </row>
    <row r="25">
      <c r="A25" s="18">
        <f>IFERROR(__xludf.DUMMYFUNCTION("""COMPUTED_VALUE"""),45896.0)</f>
        <v>45896</v>
      </c>
      <c r="B25" s="17">
        <f>IFERROR(__xludf.DUMMYFUNCTION("""COMPUTED_VALUE"""),1061.0)</f>
        <v>1061</v>
      </c>
    </row>
    <row r="26">
      <c r="A26" s="18">
        <f>IFERROR(__xludf.DUMMYFUNCTION("""COMPUTED_VALUE"""),45897.0)</f>
        <v>45897</v>
      </c>
      <c r="B26" s="17">
        <f>IFERROR(__xludf.DUMMYFUNCTION("""COMPUTED_VALUE"""),1047.1)</f>
        <v>1047.1</v>
      </c>
    </row>
    <row r="27">
      <c r="A27" s="18">
        <f>IFERROR(__xludf.DUMMYFUNCTION("""COMPUTED_VALUE"""),45898.0)</f>
        <v>45898</v>
      </c>
      <c r="B27" s="17">
        <f>IFERROR(__xludf.DUMMYFUNCTION("""COMPUTED_VALUE"""),874.2)</f>
        <v>874.2</v>
      </c>
    </row>
    <row r="28">
      <c r="A28" s="18">
        <f>IFERROR(__xludf.DUMMYFUNCTION("""COMPUTED_VALUE"""),45899.0)</f>
        <v>45899</v>
      </c>
      <c r="B28" s="17">
        <f>IFERROR(__xludf.DUMMYFUNCTION("""COMPUTED_VALUE"""),661.0)</f>
        <v>661</v>
      </c>
    </row>
    <row r="29">
      <c r="A29" s="18">
        <f>IFERROR(__xludf.DUMMYFUNCTION("""COMPUTED_VALUE"""),45901.0)</f>
        <v>45901</v>
      </c>
      <c r="B29" s="17">
        <f>IFERROR(__xludf.DUMMYFUNCTION("""COMPUTED_VALUE"""),1240.0)</f>
        <v>1240</v>
      </c>
    </row>
    <row r="30">
      <c r="A30" s="18">
        <f>IFERROR(__xludf.DUMMYFUNCTION("""COMPUTED_VALUE"""),45902.0)</f>
        <v>45902</v>
      </c>
      <c r="B30" s="17">
        <f>IFERROR(__xludf.DUMMYFUNCTION("""COMPUTED_VALUE"""),1719.0)</f>
        <v>1719</v>
      </c>
    </row>
    <row r="31">
      <c r="A31" s="18">
        <f>IFERROR(__xludf.DUMMYFUNCTION("""COMPUTED_VALUE"""),45903.0)</f>
        <v>45903</v>
      </c>
      <c r="B31" s="17">
        <f>IFERROR(__xludf.DUMMYFUNCTION("""COMPUTED_VALUE"""),316.0)</f>
        <v>316</v>
      </c>
    </row>
    <row r="32">
      <c r="A32" s="18">
        <f>IFERROR(__xludf.DUMMYFUNCTION("""COMPUTED_VALUE"""),45904.0)</f>
        <v>45904</v>
      </c>
      <c r="B32" s="17">
        <f>IFERROR(__xludf.DUMMYFUNCTION("""COMPUTED_VALUE"""),1067.9)</f>
        <v>1067.9</v>
      </c>
    </row>
    <row r="33">
      <c r="A33" s="18">
        <f>IFERROR(__xludf.DUMMYFUNCTION("""COMPUTED_VALUE"""),45905.0)</f>
        <v>45905</v>
      </c>
      <c r="B33" s="17">
        <f>IFERROR(__xludf.DUMMYFUNCTION("""COMPUTED_VALUE"""),66.0)</f>
        <v>66</v>
      </c>
    </row>
    <row r="34">
      <c r="A34" s="18">
        <f>IFERROR(__xludf.DUMMYFUNCTION("""COMPUTED_VALUE"""),45906.0)</f>
        <v>45906</v>
      </c>
      <c r="B34" s="17">
        <f>IFERROR(__xludf.DUMMYFUNCTION("""COMPUTED_VALUE"""),807.7)</f>
        <v>807.7</v>
      </c>
    </row>
    <row r="35">
      <c r="A35" s="18">
        <f>IFERROR(__xludf.DUMMYFUNCTION("""COMPUTED_VALUE"""),45908.0)</f>
        <v>45908</v>
      </c>
      <c r="B35" s="17">
        <f>IFERROR(__xludf.DUMMYFUNCTION("""COMPUTED_VALUE"""),1059.8)</f>
        <v>1059.8</v>
      </c>
    </row>
    <row r="36">
      <c r="A36" s="18">
        <f>IFERROR(__xludf.DUMMYFUNCTION("""COMPUTED_VALUE"""),45909.0)</f>
        <v>45909</v>
      </c>
      <c r="B36" s="17">
        <f>IFERROR(__xludf.DUMMYFUNCTION("""COMPUTED_VALUE"""),1057.0)</f>
        <v>1057</v>
      </c>
    </row>
    <row r="37">
      <c r="A37" s="18">
        <f>IFERROR(__xludf.DUMMYFUNCTION("""COMPUTED_VALUE"""),46139.0)</f>
        <v>46139</v>
      </c>
      <c r="B37" s="17">
        <f>IFERROR(__xludf.DUMMYFUNCTION("""COMPUTED_VALUE"""),1777.0)</f>
        <v>1777</v>
      </c>
      <c r="C37" s="19" t="s">
        <v>242</v>
      </c>
    </row>
    <row r="38">
      <c r="A38" s="18">
        <f>IFERROR(__xludf.DUMMYFUNCTION("""COMPUTED_VALUE"""),46140.0)</f>
        <v>46140</v>
      </c>
      <c r="B38" s="17">
        <f>IFERROR(__xludf.DUMMYFUNCTION("""COMPUTED_VALUE"""),1081.0)</f>
        <v>1081</v>
      </c>
    </row>
    <row r="39">
      <c r="A39" s="18">
        <f>IFERROR(__xludf.DUMMYFUNCTION("""COMPUTED_VALUE"""),46141.0)</f>
        <v>46141</v>
      </c>
      <c r="B39" s="17">
        <f>IFERROR(__xludf.DUMMYFUNCTION("""COMPUTED_VALUE"""),1440.0)</f>
        <v>1440</v>
      </c>
    </row>
    <row r="40">
      <c r="A40" s="18">
        <f>IFERROR(__xludf.DUMMYFUNCTION("""COMPUTED_VALUE"""),46142.0)</f>
        <v>46142</v>
      </c>
      <c r="B40" s="17">
        <f>IFERROR(__xludf.DUMMYFUNCTION("""COMPUTED_VALUE"""),1640.0)</f>
        <v>1640</v>
      </c>
    </row>
    <row r="41">
      <c r="A41" s="18">
        <f>IFERROR(__xludf.DUMMYFUNCTION("""COMPUTED_VALUE"""),46144.0)</f>
        <v>46144</v>
      </c>
      <c r="B41" s="17">
        <f>IFERROR(__xludf.DUMMYFUNCTION("""COMPUTED_VALUE"""),679.0)</f>
        <v>679</v>
      </c>
    </row>
    <row r="42">
      <c r="A42" s="18">
        <f>IFERROR(__xludf.DUMMYFUNCTION("""COMPUTED_VALUE"""),46146.0)</f>
        <v>46146</v>
      </c>
      <c r="B42" s="17">
        <f>IFERROR(__xludf.DUMMYFUNCTION("""COMPUTED_VALUE"""),1489.0)</f>
        <v>1489</v>
      </c>
    </row>
    <row r="43">
      <c r="A43" s="18">
        <f>IFERROR(__xludf.DUMMYFUNCTION("""COMPUTED_VALUE"""),46147.0)</f>
        <v>46147</v>
      </c>
      <c r="B43" s="17">
        <f>IFERROR(__xludf.DUMMYFUNCTION("""COMPUTED_VALUE"""),650.0)</f>
        <v>650</v>
      </c>
    </row>
    <row r="44">
      <c r="A44" s="18">
        <f>IFERROR(__xludf.DUMMYFUNCTION("""COMPUTED_VALUE"""),46148.0)</f>
        <v>46148</v>
      </c>
      <c r="B44" s="17">
        <f>IFERROR(__xludf.DUMMYFUNCTION("""COMPUTED_VALUE"""),1169.0)</f>
        <v>1169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243</v>
      </c>
    </row>
  </sheetData>
  <hyperlinks>
    <hyperlink r:id="rId1" ref="A1"/>
  </hyperlinks>
  <drawing r:id="rId2"/>
</worksheet>
</file>